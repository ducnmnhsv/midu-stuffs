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ducnguyen/NHSV/NHSV Pro/TT134 - UBCK/"/>
    </mc:Choice>
  </mc:AlternateContent>
  <xr:revisionPtr revIDLastSave="0" documentId="13_ncr:1_{B2160CD5-CA80-714E-BCC7-71DD683F0237}" xr6:coauthVersionLast="47" xr6:coauthVersionMax="47" xr10:uidLastSave="{00000000-0000-0000-0000-000000000000}"/>
  <bookViews>
    <workbookView xWindow="37260" yWindow="19240" windowWidth="37480" windowHeight="23960" firstSheet="1" activeTab="1" xr2:uid="{00000000-000D-0000-FFFF-FFFF00000000}"/>
  </bookViews>
  <sheets>
    <sheet name="Report" sheetId="4" r:id="rId1"/>
    <sheet name="Cần xử lý_재확인.조치 필요" sheetId="3" r:id="rId2"/>
    <sheet name="Checklist" sheetId="2" r:id="rId3"/>
    <sheet name="Korean" sheetId="5" r:id="rId4"/>
  </sheets>
  <definedNames>
    <definedName name="_xlnm._FilterDatabase" localSheetId="1" hidden="1">'Cần xử lý_재확인.조치 필요'!$A$2:$L$47</definedName>
    <definedName name="_xlnm._FilterDatabase" localSheetId="2" hidden="1">Checklist!$A$2:$I$66</definedName>
    <definedName name="_xlnm._FilterDatabase" localSheetId="3" hidden="1">Korean!$A$1:$E$46</definedName>
    <definedName name="_xlnm.Print_Titles" localSheetId="1">'Cần xử lý_재확인.조치 필요'!$1:$2</definedName>
    <definedName name="_xlnm.Print_Titles" localSheetId="2">Checklist!$1:$2</definedName>
    <definedName name="_xlnm.Print_Titles" localSheetId="3">Korean!$1:$1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6" i="5" l="1"/>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8" i="5"/>
  <c r="C7" i="5"/>
  <c r="C6" i="5"/>
  <c r="C5" i="5"/>
  <c r="C4" i="5"/>
  <c r="C3" i="5"/>
  <c r="C2" i="5"/>
  <c r="B47" i="3"/>
  <c r="B46" i="3"/>
  <c r="B45" i="3"/>
  <c r="B44" i="3"/>
  <c r="B43" i="3"/>
  <c r="B42" i="3"/>
  <c r="B41" i="3"/>
  <c r="B40" i="3"/>
  <c r="B39" i="3"/>
  <c r="B38" i="3"/>
  <c r="B37" i="3"/>
  <c r="B36" i="3"/>
  <c r="B35" i="3"/>
  <c r="B34" i="3"/>
  <c r="B33" i="3"/>
  <c r="B32" i="3"/>
  <c r="B31" i="3"/>
  <c r="B30" i="3"/>
  <c r="B29" i="3"/>
  <c r="B28" i="3"/>
  <c r="B27" i="3"/>
  <c r="B26" i="3"/>
  <c r="B25" i="3"/>
  <c r="B24" i="3"/>
  <c r="B23" i="3"/>
  <c r="B22" i="3"/>
  <c r="B21" i="3"/>
  <c r="B20" i="3"/>
  <c r="B19" i="3"/>
  <c r="B18" i="3"/>
  <c r="B17" i="3"/>
  <c r="B16" i="3"/>
  <c r="B15" i="3"/>
  <c r="B14" i="3"/>
  <c r="B13" i="3"/>
  <c r="B12" i="3"/>
  <c r="B11" i="3"/>
  <c r="B10" i="3"/>
  <c r="B9" i="3"/>
  <c r="B8" i="3"/>
  <c r="B7" i="3"/>
  <c r="B6" i="3"/>
  <c r="B5" i="3"/>
  <c r="B4" i="3"/>
  <c r="B3" i="3"/>
  <c r="E22" i="4"/>
  <c r="D22" i="4"/>
  <c r="C22" i="4"/>
  <c r="E21" i="4"/>
  <c r="D21" i="4"/>
  <c r="C21" i="4"/>
  <c r="E20" i="4"/>
  <c r="D20" i="4"/>
  <c r="C20" i="4"/>
  <c r="E15" i="4"/>
  <c r="E14" i="4"/>
  <c r="E13" i="4"/>
  <c r="E12" i="4"/>
  <c r="H5" i="4"/>
  <c r="F5" i="4"/>
  <c r="D5" i="4"/>
  <c r="B5" i="4"/>
  <c r="C30" i="4" l="1"/>
  <c r="C29" i="4"/>
  <c r="C28" i="4"/>
  <c r="E23" i="4"/>
  <c r="D23" i="4"/>
  <c r="C23" i="4"/>
  <c r="H6" i="4"/>
  <c r="F6" i="4"/>
  <c r="D6" i="4"/>
  <c r="E16" i="4"/>
  <c r="F20" i="4"/>
  <c r="F22" i="4"/>
  <c r="F21" i="4"/>
  <c r="G20" i="4" l="1"/>
  <c r="F14" i="4"/>
  <c r="F15" i="4"/>
  <c r="F13" i="4"/>
  <c r="F12" i="4"/>
  <c r="F23" i="4"/>
  <c r="G23" i="4" s="1"/>
  <c r="G22" i="4"/>
  <c r="G21" i="4"/>
  <c r="F16"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tc={15A4AA41-0773-48DD-AB46-8FE7C94D55C2}</author>
  </authors>
  <commentList>
    <comment ref="C9" authorId="0" shapeId="0" xr:uid="{15A4AA41-0773-48DD-AB46-8FE7C94D55C2}">
      <text>
        <t xml:space="preserve">[Threaded comment]
Your version of Excel allows you to read this threaded comment; however, any edits to it will get removed if the file is opened in a newer version of Excel. Learn more: https://go.microsoft.com/fwlink/?linkid=870924
Comment:
    Điều 8. Xác thực bằng mã khóa dùng một lần (OTP)  
1. SMS OTP phải đáp ứng các yêu cầu sau:
a) OTP gửi tới khách hàng phải kèm thông tin thông báo để khách hàng nhận biết được mục đích của OTP; 
b) OTP có hiệu lực tối đa 05 phút kể từ thời điểm được hệ thống tạo.
2. Voice OTP phải đáp ứng các yêu cầu sau: 
a) OTP gửi tới khách hàng phải kèm thông tin thông báo để khách hàng nhận biết được mục đích của OTP; 
b) OTP có hiệu lực tối đa 03 phút kể từ thời điểm cuộc gọi được hệ thống thiết lập thành công.
3. Email OTP phải đáp ứng các yêu cầu sau: 
a) OTP gửi tới khách hàng phải kèm thông tin thông báo để khách hàng nhận biết được mục đích của OTP; 
b) OTP có hiệu lực tối đa 05 phút kể từ thời điểm được hệ thống tạo.
4. Thẻ ma trận OTP phải đáp ứng các yêu cầu sau: 
a) Thẻ ma trận OTP có thời hạn sử dụng tối đa 01 năm kể từ ngày đăng ký thẻ;
b) Yêu cầu xác thực OTP có hiệu lực tối đa 02 phút kể từ thời điểm được hệ thống tạo.
5. Soft OTP phải đáp ứng các yêu cầu sau: 
a) Trường hợp phần mềm Soft OTP độc lập với phần mềm ứng dụng Mobile App, phải được tổ chức cung cấp dịch vụ đăng ký, quản lý phần mềm tại kho ứng dụng chính thức của hãng cung cấp hệ điều hành cho thiết bị di động và hướng dẫn cài đặt trên trang thông tin điện tử của tổ chức cung cấp dịch vụ; 
b) Phần mềm phải có chức năng xác thực khách hàng khi sử dụng lần đầu hoặc khi sử dụng trên thiết bị khác với thiết bị sử dụng lần gần nhất. Việc xác thực khách hàng phải bảo đảm khớp đúng SMS OTP hoặc Voice OTP thông qua số điện thoại di động đã được khách hàng đăng ký với tổ chức cung cấp dịch vụ và khớp đúng thông tin sinh trắc học của khách hàng theo một trong các loại thông tin sinh trắc học quy định tại khoản 12 Điều 3 Thông tư này;
c) Phần mềm Soft OTP phải yêu cầu kích hoạt trước khi sử dụng. Mã kích hoạt sử dụng Soft OTP do tổ chức cung cấp dịch vụ cung cấp cho khách hàng và chỉ được sử dụng để kích hoạt trên một thiết bị di động. Mã kích hoạt phải được thiết lập thời hạn hiệu lực sử dụng;
d) Phần mềm Soft OTP phải có chức năng kiểm soát truy cập. Trường hợp truy cập sai liên tiếp quá số lần do tổ chức cung cấp dịch vụ quy định (nhưng không quá 10 lần), phần mềm Soft OTP phải tự động khóa không cho khách hàng sử dụng tiếp. Tổ chức cung cấp dịch vụ chỉ mở khóa phần mềm Soft OTP khi khách hàng yêu cầu và phải kiểm tra, nhận biết khách hàng trước khi thực hiện mở khóa, bảo đảm chống gian lận, giả mạo;
đ) Mã OTP có hiệu lực tối đa 02 phút kể từ thời điểm được hệ thống tạo.
6. Token OTP: OTP có hiệu lực tối đa 02 phút kể từ thời điểm được hệ thống tạo. </t>
      </text>
    </comment>
  </commentList>
</comments>
</file>

<file path=xl/sharedStrings.xml><?xml version="1.0" encoding="utf-8"?>
<sst xmlns="http://schemas.openxmlformats.org/spreadsheetml/2006/main" count="1089" uniqueCount="434">
  <si>
    <t>BÁO CÁO RÀ SOÁT TUÂN THỦ — DỰ THẢO SỬA ĐỔI THÔNG TƯ 134/2024/TT-BTC   
온라인 증권 거래관련 시행규칙 개정안 준수 점검 보고서</t>
  </si>
  <si>
    <t>1. TỔNG QUAN MỨC ĐỘ TUÂN THỦ  /  준수 현황 요약</t>
  </si>
  <si>
    <t>Hạng mục / 항목</t>
  </si>
  <si>
    <t>Tổng số hạng mục
총 점검 항목</t>
  </si>
  <si>
    <t>Tuân thủ đầy đủ (OK)
완전 준수</t>
  </si>
  <si>
    <t>Cần rà soát lại
재확인 필요</t>
  </si>
  <si>
    <t>Cần hành động
조치 필요</t>
  </si>
  <si>
    <t>2. CHI TIẾT THEO TRẠNG THÁI ĐÁP ỨNG  /  충족 상태별 상세</t>
  </si>
  <si>
    <t>Trạng thái đáp ứng  /  충족 상태</t>
  </si>
  <si>
    <t>Số lượng
건수</t>
  </si>
  <si>
    <t>Tỷ lệ
비율</t>
  </si>
  <si>
    <t>Đáp ứng (Có)  /  충족 (예)</t>
  </si>
  <si>
    <t>Chưa đáp ứng (Không)  /  미충족 (아니오)</t>
  </si>
  <si>
    <t>Chưa đánh giá  /  미평가</t>
  </si>
  <si>
    <t>Không áp dụng (N/A)  /  해당없음</t>
  </si>
  <si>
    <t>Tổng  /  합계</t>
  </si>
  <si>
    <t>3. PHÂN LOẠI XỬ LÝ THEO MỤC  /  절별 처리 분류</t>
  </si>
  <si>
    <t>Mục
절</t>
  </si>
  <si>
    <t>Tuân thủ (OK)
완전준수</t>
  </si>
  <si>
    <t>Cần rà soát
재확인</t>
  </si>
  <si>
    <t>Cần hành động
조치</t>
  </si>
  <si>
    <t>Tổng
합계</t>
  </si>
  <si>
    <t>% Tuân thủ
준수율</t>
  </si>
  <si>
    <t>Nội dung  /  내용</t>
  </si>
  <si>
    <t>제1절</t>
  </si>
  <si>
    <t>Yêu cầu chung  /  일반 요건  (Điều 5–13)</t>
  </si>
  <si>
    <t>제2절</t>
  </si>
  <si>
    <t>Kết nối API với bên thứ ba  /  제3자 API 연동  (Điều 14–15)</t>
  </si>
  <si>
    <t>제3절</t>
  </si>
  <si>
    <t>An ninh mạng, hạ tầng, lưu trữ &amp; báo cáo  /  보안·인프라·보관·보고  (Điều 16–26)</t>
  </si>
  <si>
    <t>4. BIỂU ĐỒ TRỰC QUAN  /  시각화 차트</t>
  </si>
  <si>
    <t>Phân loại xử lý  /  처리 분류</t>
  </si>
  <si>
    <t>Số / 건수</t>
  </si>
  <si>
    <t>Tuân thủ (OK) / 완전준수</t>
  </si>
  <si>
    <t>Cần rà soát / 재확인</t>
  </si>
  <si>
    <t>Cần hành động / 조치</t>
  </si>
  <si>
    <t>5. NHẬN ĐỊNH &amp; KHUYẾN NGHỊ  /  핵심 인사이트 및 권고</t>
  </si>
  <si>
    <t>① Mức độ tuân thủ hiện ở mức thấp: chỉ 20/64 hạng mục (31%) đạt đầy đủ, 33 (52%) cần hành động, 11 (17%) cần rà soát. Theo trạng thái: 26 đáp ứng (41%), 24 chưa đáp ứng (38%).
① 현 준수 수준은 낮음: 64건 중 20건(31%)만 완전 충족, 33건(52%) 조치 필요, 11건(17%) 재확인 필요. 상태 기준 충족 26건(41%), 미충족 24건(38%).</t>
  </si>
  <si>
    <t>② Rủi ro tập trung ở Mục 2 (API) và Mục 3 (ANM/hạ tầng): Mục 2 chỉ đạt 12.5% (2/16) – thấp nhất; Mục 3 đạt 44% nhưng có nhiều hạng mục cần hành động nhất (13); Mục 1 đạt 28.6%.
② 위험은 제2절(API)·제3절(보안)에 집중: 제2절 12.5%(2/16) 최저, 제3절 44%이나 조치 항목 최다(13건), 제1절 28.6%.</t>
  </si>
  <si>
    <t>③ 9 hạng mục “Chưa đánh giá” (chủ yếu API – Điều 14,15) cần hoàn tất đánh giá sớm để có bức tranh tuân thủ đầy đủ.
③ 미평가 9건(주로 API, 제14·15조)는 담당 지정 및 조기 평가 완료 필요.</t>
  </si>
  <si>
    <t>④ Nhóm ưu tiên hành động cao: mã hóa dữ liệu lưu trữ &amp; CSDL (Điều 18,20), kiểm soát truy cập API + rate limit (Điều 15,20–22), xác thực sinh trắc học khi giao dịch/rút tiền (Điều 7,9,12), báo cáo API cho UBCKNN (Điều 14/31).
④ 고우선순위 조치: 데이터·DB 암호화, API 접근통제·rate limit, 생체인증, SSC API 보고.</t>
  </si>
  <si>
    <t>⑤ Lưu ý pháp lý: NHSV đang cung cấp API cho đối tác (Stag) nhưng chưa báo cáo UBCKNN – theo TT134 hiện hành có thể bị xem là vi phạm; cần xử lý trước hạn.
⑤ 법적 유의: Stag에 API 제공 중이나 UBCKNN 미보고 – 현행 TT134상 위반 소지, 기한 내 처리 필요.</t>
  </si>
  <si>
    <t>⑥ Lộ trình: hoàn thiện hệ thống &amp; dữ liệu KH trong 12 tháng kể từ ngày TT có hiệu lực (Điều 31); danh mục API phải báo cáo trong 3 tháng. Kiến nghị lập kế hoạch hành động theo quý, ưu tiên 33 hạng mục “Cần hành động”.
⑥ 로드맵: 시행 후 12개월 내 시스템·고객데이터 정비(제31조), API 목록은 3개월 내 보고. 33개 조치 항목 우선 분기별 실행계획 수립 권고.</t>
  </si>
  <si>
    <t>Các hạng mục CẦN XỬ LÝ — Cần hành động &amp; Cần check lại (mọi tình trạng)  ·  처리 필요 항목 (조치 / 재확인)</t>
  </si>
  <si>
    <t>STT
번호</t>
  </si>
  <si>
    <t>Mục thuộc về
해당 절</t>
  </si>
  <si>
    <t>Hạng mục cần xử lý — Yêu cầu</t>
  </si>
  <si>
    <t>처리 대상 항목</t>
  </si>
  <si>
    <t>Điều khoản tham chiếu
참조 조항</t>
  </si>
  <si>
    <t>Tình trạng
상태</t>
  </si>
  <si>
    <t>Phân loại
분류</t>
  </si>
  <si>
    <t>Hành động cần thực hiện / Nội dung cần check lại (Rev)</t>
  </si>
  <si>
    <t>조치 사항 / 재확인 사항 (한국어)</t>
  </si>
  <si>
    <t>Người phụ trách (Main)
담당자</t>
  </si>
  <si>
    <t>Kế hoạch xử lý 
처리 방안</t>
  </si>
  <si>
    <t>Thời hạn hoàn thành dự kiến
완료 기한 (예정)</t>
  </si>
  <si>
    <t>Công bố thông tin về các dịch vụ cung cấp, bảo đảm khách hàng tiếp cận được trước hoặc ngay tại thời điểm đăng ký sử dụng dịch vụ (khoản 1, 2 Điều 5).</t>
  </si>
  <si>
    <t>제공 서비스에 관한 정보를 공시하여 고객이 가입 전 또는 가입 시점에 접근 가능하도록 보장(제5조 제1·2항).</t>
  </si>
  <si>
    <t>ĐIỀU 5 — 제5조</t>
  </si>
  <si>
    <t>Có / 예</t>
  </si>
  <si>
    <t>Cần hành động / 조치 필요</t>
  </si>
  <si>
    <t xml:space="preserve">Bổ sung công bố thông tin dịch vụ trên web/app để KH tiếp cận trước/khi đăng ký (Theo khoản 2 Điều 5)
• (b) Bổ sung 'hình thức xác thực giao dịch' vào mục hạn mức giao dịch (nếu có).
• (d) Cập nhật bản công bố rủi ro chi tiết hơn.
Mục (a) cách thức cung cấp &amp; (c) trang thiết bị/điều kiện sử dụng đã có thông tin trên web 
- Cách thức cung cấp: https://nhsv.vn/page/cong-cu-giao-dich.html
- Trang thiết bị điều kiện sử dụng: https://nhsv.vn/page/huong-dan-giao-dich-tren-mobile-nhsv-pro.html 
</t>
  </si>
  <si>
    <t>고객이 가입 전/가입 시점에 접근할 수 있도록 웹/앱에 서비스 정보 공시 보완(제5조 제2항).
• (b) 거래 한도 항목에 '거래 인증 방식' 추가(있는 경우).
• (d) 위험 공시 자료를 더 상세히 갱신.
(a) 제공 방식 및 (c) 장비/이용 조건은 이미 웹에 게시됨
- 제공 방식: https://nhsv.vn/page/cong-cu-giao-dich.html
- 장비/이용 조건: https://nhsv.vn/page/huong-dan-giao-dich-tren-mobile-nhsv-pro.html</t>
  </si>
  <si>
    <t xml:space="preserve">Ms Ngân </t>
  </si>
  <si>
    <t>Công ty chứng khoán phải được UBCKNN chấp thuận trước khi cung cấp dịch vụ GDCK trực tuyến; hồ sơ theo Điều 203 NĐ 155/2020/NĐ-CP; tài liệu theo Phụ lục I (khoản 3 Điều 5).</t>
  </si>
  <si>
    <t>증권회사는 온라인 증권거래 서비스 제공 전 UBCKNN 승인을 취득; 서류는 NĐ 155/2020 제203조, 양식은 부록 I (제5조 제3항).</t>
  </si>
  <si>
    <t>Cần check lại / 재확인 필요</t>
  </si>
  <si>
    <t>Check lại với UBCKNN: giấy phép hiện tại là QĐ 454/QĐ-UBCK (2017, cấp cho Woori CBV, trước TT134/2017). Xác định có phải nộp lại hồ sơ đăng ký cung cấp dịch vụ GDTT (theo Điều 203 NĐ155/2020 + Phụ lục I) hay không.
* Phụ lục I: BÁO CÁO THIẾT KẾ HỆ THỐNG GIAO DỊCH TRỰC TUYẾN  gồm: tài liệu về nhân sự vận hành hệ thống, hệ thống giao dịch, giải pháp kỹ thuật bảo đảm an toàn hệ thống, hệ thống lưu trữ dữ liệu dự phòng và khắc phục sự cố.</t>
  </si>
  <si>
    <t>UBCKNN에 재확인: 현재 라이선스는 QĐ 454/QĐ-UBCK(2017년, Woori CBV에 발급, TT134/2017 이전). 온라인거래 서비스 제공 등록 서류(NĐ155/2020 제203조 + 부록 I)를 다시 제출해야 하는지 확인.
* 부록 I: 온라인거래시스템 설계 보고서 — 시스템 운영 인력, 거래 시스템, 시스템 안전 보장 기술 솔루션, 예비 데이터 저장 및 사고 복구 시스템 관련 자료 포함.</t>
  </si>
  <si>
    <t>Ms Nhung</t>
  </si>
  <si>
    <t>Liên hệ với Quản lý Thành viên và Vụ Pháp chế - Đối ngoại SSC để hỏi thông tin</t>
  </si>
  <si>
    <t>26/6/2026</t>
  </si>
  <si>
    <t>Cung cấp dịch vụ phải thể hiện bằng hợp đồng hoặc điều khoản của hợp đồng với khách hàng (khoản 4 Điều 5).
Bao gồm các thông tin sau trong HĐ: 
Phương thức giao dịch trực tuyến &amp; loại giao dịch tương ứng
SĐT di dộng đăng ký sử dụng dịch vụ. Tổ chức cung cấp dịch vụ có biện pháp xác minh để đảm bảo số điện thoại này thuộc quyền sử dụng hợp pháp của KH 
Các rủi ro &amp; trách nhiệm bồi thường của mỗi bên</t>
  </si>
  <si>
    <t>서비스 제공은 고객과의 계약 또는 계약 조항으로 표시되어야 함(제5조 제4항).
계약에 다음 정보 포함:
• 온라인 거래 방식 및 해당 거래 유형
• 서비스 가입에 등록한 휴대전화 번호. 서비스 제공기관은 해당 번호가 고객의 적법한 사용 권한에 속함을 확인하는 조치 보유
• 각 당사자의 위험 및 배상 책임</t>
  </si>
  <si>
    <t>NHSV cần có biện pháp xác minh SĐT di động thuộc quyền sử dụng hợp pháp của KH (hiện CHƯA có)</t>
  </si>
  <si>
    <t>NHSV는 휴대전화 번호가 고객의 적법한 사용 권한에 속하는지 확인하는 조치를 마련해야 함(현재 없음).</t>
  </si>
  <si>
    <t>Mr Đức</t>
  </si>
  <si>
    <t>Ban hành quy trình giao dịch trực tuyến phù hợp với Thông tư, pháp luật về chứng khoán và pháp luật có liên quan (khoản 5 Điều 5).</t>
  </si>
  <si>
    <t>본 시행규칙, 증권법 및 관련 법규에 부합하는 온라인 거래 절차 제정(제5조 제5항).</t>
  </si>
  <si>
    <t>NHSV đã có QT mở tài khoản eKYC; QT QLL GDTT; QT đăng ký, hủy sử dụng DV GDCKTT; QT KSRR trong HĐ GDTT; QT khắc phục sự cố hệ thống GDTT; QT vận hành hệ thống GDTT HNX/HSX
Bổ sung nội dung xác thực vào các quy trình đã có hoặc ban hành quy trình mới:
• QT rút tiền: thêm xác thực theo giá trị giao dịch.
• QT mở/đóng tài khoản eKYC: thêm xác thực sinh trắc học.
• QT quản lý lệnh: thêm xác thực lệnh.
• Cân nhắc ban hành QT tổng quát về xác thực giao dịch/thiết bị.</t>
  </si>
  <si>
    <t>NHSV는 eKYC 계좌개설 절차; 온라인거래 관리 절차; 온라인 증권거래 서비스 가입·해지 절차; 온라인거래 위험통제 절차; 온라인거래시스템 사고복구 절차; HNX/HSX 온라인거래시스템 운영 절차를 이미 보유.
기존 절차에 인증 내용을 보완하거나 신규 절차 제정:
• 출금 절차: 거래 금액별 인증 추가.
• eKYC 계좌 개설/해지 절차: 생체인증 추가.
• 주문 관리 절차: 주문 인증 추가.
• 거래/기기 인증에 관한 일반 절차 제정 검토.</t>
  </si>
  <si>
    <t>Khi cung cấp dịch vụ, công ty chứng khoán phải trực tiếp thực hiện: 
a) Xác thực giao dịch mở tài khoản chứng khoán; 
b) Xác thực giao dịch đặt lệnh mua bán chứng khoán (điểm a, b khoản 8 Điều 5).</t>
  </si>
  <si>
    <t>서비스 제공 시 증권회사가 직접 수행: a) 증권계좌 개설 거래 인증; b) 증권 매매주문 거래 인증(제5조 제8항 a·b호).</t>
  </si>
  <si>
    <t>ĐIỀU 5 — 제5조 (tiếp)</t>
  </si>
  <si>
    <t>Không / 아니오</t>
  </si>
  <si>
    <t>Đảm bảo xác thực bắt buộc tối thiểu 1 lần cho giao dịch đầu tiên mỗi phiên đăng nhập. Mở TKCK đã có OCR CCCD + khuôn mặt; rà soát lại bước xác thực khi đặt lệnh.</t>
  </si>
  <si>
    <t>로그인 세션별 최초 거래에 대해 최소 1회 인증을 의무화. 증권계좌 개설은 이미 CCCD OCR + 얼굴 인증 적용; 주문 시 인증 단계 재점검.</t>
  </si>
  <si>
    <t>Rà soát, lập kế hoạch, hoàn thiện hệ thống &amp; dữ liệu của khách hàng bảo đảm tuân thủ quy định trong thời hạn 01 năm kể từ ngày Thông tư có hiệu lực thi hành (Điều 31).</t>
  </si>
  <si>
    <t>규정 준수를 위해 시스템 및 고객 데이터를 점검·계획·정비; 시행일로부터 1년 이내 완료(제31조).</t>
  </si>
  <si>
    <t>Chưa đánh giá / 미평가</t>
  </si>
  <si>
    <t>Điều khoản chuyển tiếp (Điều 31): thực hiện sau khi Thông tư có hiệu lực — rà soát, hoàn thiện hệ thống &amp; dữ liệu KH trong vòng 1 năm.</t>
  </si>
  <si>
    <t>경과 규정(제31조): 시행규칙 발효 후 시행 — 1년 이내에 시스템 및 고객 데이터 점검·정비.</t>
  </si>
  <si>
    <t>Ms Nhung, Mr Văn, Mr Đức</t>
  </si>
  <si>
    <t>OTP đáp ứng thời hạn hiệu lực: . Thẻ ma trận có thời hạn dùng tối đa 01 năm. SMS 05 phút, Voice 03 phút, Email 05 phút, Thẻ ma trận 02 phút, Soft OTP 02 phút, Token OTP 02 phút (Điều 8).</t>
  </si>
  <si>
    <t>OTP 유효시간 준수: OTP카드 1년, SMS 5분, Voice 3분, Email 5분, 매트릭스 카드 2분, Soft OTP 2분, Token OTP 2분(제8조).</t>
  </si>
  <si>
    <t>ĐIỀU 7–9 — 제7~9조</t>
  </si>
  <si>
    <t>Rà soát lại và điều chỉnh một số nội dung gửi, thời gian hiệu lực của OTP
1. SMS OTP: Rà soát lại toàn bộ các SMS OTP về thông tin gửi (hiện tại gửi đang không gửi kèm mục đích sử dụng), Rà soát lại thời gian hiệu lực của SMS OTP 
2. Voice OTP: NHSV Không sử dụng, không cần rà soát
3. Mail OTP: NHSV Không sử dụng, không cần rà soát 
4. Thẻ OTP:  Thẻ ma trận OTP của NHSV hiện không đáp ứng về thời hạn sử dụng. Phải sửa đổi thời gian về tối đa 1 năm từ ngày đăng kí thẻ. Nghiên cứu triển khai cùng CS 
5. Soft OTP : Soft OTP của NHSV hiện đã đáp ứng về thời gian hiệu lực không quá 2P. 
Cần rà soát Khi KH kích hoạt Smart OTP lần đầu, theo quy định phải phải yêu cầu khớp đúg SMS OTP qua số điện thoại đã đăng kí và khớp đúng thông tin sinh trắng học của KH theo ảnh khuôn mặt/vân tay/mống mắt/ADN/giọng nói. 
NHSV đã yêu cầu KH phải kích hoạt Smart OTP trước khi sử dụng nhưng mã kích hoạt chỉ được sử dụng trên 1 thiết bị và hiệu lực sử dụng cần rà soát lại 
Phần mềm Soft OTP phải có chức năng kiểm soát truy cập. 
Rà soát trường hợp truy cập sai liên tiếp quá số lần do tổ chức cung cấp dịch vụ quy định (nhưng không quá 10 lần), phần mềm Soft OTP phải tự động khóa không cho khách hàng sử dụng tiếp. Tổ chức cung cấp dịch vụ chỉ mở khóa phần mềm Soft OTP khi khách hàng yêu cầu và phải kiểm tra, nhận biết khách hàng trước khi thực hiện mở khóa, bảo đảm chống gian lận, giả mạo;
6. Token OTP: NHSV hiện không sử dụng</t>
  </si>
  <si>
    <t>OTP의 발송 내용 및 유효시간 일부를 점검·조정:
1. SMS OTP: 모든 SMS OTP의 발송 정보 재점검(현재 사용 목적을 함께 발송하지 않음), SMS OTP 유효시간 재점검.
2. Voice OTP: NHSV 미사용, 점검 불필요.
3. Mail OTP: NHSV 미사용, 점검 불필요.
4. OTP 카드: NHSV 매트릭스 OTP 카드는 현재 사용 기한 요건 미충족. 카드 등록일로부터 최대 1년으로 기간 수정 필요. CS와 함께 시행 연구.
5. Soft OTP: NHSV Soft OTP는 현재 2분 이내 유효시간 요건 충족.
고객이 Smart OTP를 최초 활성화할 때 규정상 등록 전화번호로 SMS OTP 일치 및 얼굴/지문/홍채/DNA/음성 생체정보 일치를 요구해야 함 — 점검 필요.
NHSV는 사용 전 Smart OTP 활성화를 요구하나 활성화 코드는 1개 기기에서만 사용되며 유효기간은 재점검 필요.
Soft OTP 소프트웨어는 접근통제 기능을 보유해야 함.
서비스 제공기관이 정한 횟수(단, 10회 이하)를 초과하여 연속 오접속 시 Soft OTP가 자동 잠금되어 고객이 계속 사용하지 못하도록 점검. 잠금 해제는 고객 요청 시에만 하며, 해제 전 고객을 확인·식별하여 부정·위조를 방지.
6. Token OTP: NHSV 현재 미사용.</t>
  </si>
  <si>
    <t>Các điều khoản về khớp đúng thông tin sung trắc học. Sinh trắc học khuôn mặt đạt chuẩn FIDO Biometric Requirement: FRR &lt; 5%, FAR &lt; 0,01% (tập mẫu ≥ 10.000); có phát hiện tấn công giả mạo vật thể sống (PAD) (khoản 1 Điều 9).</t>
  </si>
  <si>
    <t>얼굴 생체인증 FIDO Biometric Requirement 충족: FRR&lt;5%, FAR&lt;0.01%(표본 1만 이상); 생체 위조공격탐지(PAD) 보유(제9조 제1항).</t>
  </si>
  <si>
    <t>IT check lại: hình thức sinh trắc học qua eKYC của NHSV đã đáp ứng chuẩn (PAD, FRR&lt;5%, FAR&lt;0,01%) chưa; chuẩn bị áp dụng sinh trắc học khi KH rút tiền trên 10tr VND</t>
  </si>
  <si>
    <t>IT 재점검: NHSV의 eKYC 생체인증 방식이 기준(PAD, FRR&lt;5%, FAR&lt;0.01%)을 충족하는지; 고객이 1천만 VND 초과 출금 시 생체인증 적용 준비.</t>
  </si>
  <si>
    <t>Giải pháp PAD do tổ chức tự triển khai hoặc dùng của bên thứ ba phải được chứng nhận bởi Liên minh FIDO hoặc tổ chức quốc tế có tiêu chuẩn tương đương/cao hơn (Điều 9).</t>
  </si>
  <si>
    <t>PAD 솔루션은 자체 구축 또는 제3자 사용 시 FIDO Alliance 또는 동등·상위 기준 국제기관의 인증 필요(제9조).</t>
  </si>
  <si>
    <t>Check lại xem đối tác cung cấp giải pháp đã đáp ứng chứng nhận bởi Liên minh FIDO hoặc tổ chức Quốc tế có tiêu chuẩn tương tự hay chưa</t>
  </si>
  <si>
    <t>솔루션 공급 파트너가 FIDO Alliance 또는 동등 기준 국제기관의 인증을 충족했는지 재확인.</t>
  </si>
  <si>
    <t>Các quy định bổ sung về khớp đúng thông tin sinh trắng học
Khóa chức năng khi sai quá số lần quy định (≤10 lần), chỉ mở khi KH yêu cầu &amp; nhận biết KH. Thời gian khớp đúng thông tin sinh trắc học kể từ thời điểm hệ thống ghi nhận yêu cầu xác thực của KH là tối đa 03 phút.
 Đối chiếu khớp đúng thông tin STH của KH với 1 trong các dữ liệu:
a) Dữ liệu sinh trắc học được lưu trong bộ phận lưu trữ thông tin được mã hóa của thẻ CCCD hoặc thẻ CC   đã được xác thực chính xác là do cơ quan Công an cấp hoặc thông qua xác thực tài khoản định danh điện tử của người đó do Hệ thống định danh và xác thực điện tử tạo lập; 
b) Dữ liệu sinh trắc học đã được thu thập và kiểm tra; bảo đảm sự khớp đúng giữa dữ liệu sinh trắc học của người đó với dữ liệu sinh trắc học trong bộ phận lưu trữ thông tin được mã hóa của thẻ CCCD hoặc thẻ CC   đã được xác thực chính xác là do cơ quan Công an cấp, hoặc với dữ liệu sinh trắc học của người đó thông qua xác thực tài khoản định danh điện tử do Hệ thống định danh và xác thực điện tử tạo lập; 
c) Dữ liệu sinh trắc học của người đó được lưu trong Cơ sở dữ liệu quốc gia về dân cư trong trường hợp sử dụng thẻ CCCD không có bộ phận lưu trữ thông tin được mã hóa.</t>
  </si>
  <si>
    <t>생체정보 일치에 관한 추가 규정.
규정 횟수(10회 이하) 초과 오류 시 기능 잠금, 고객 요청 및 고객 확인 시에만 해제. 생체정보 일치 확인 시간은 시스템이 고객의 인증 요청을 기록한 시점부터 최대 3분.
고객의 생체정보를 다음 데이터 중 하나와 대조하여 일치 확인:
a) 공안기관 발급으로 정확히 인증된 CCCD(시민카드) 또는 CC 카드의 암호화 정보저장부에 저장된 생체정보, 또는 전자식별인증시스템이 생성한 본인의 전자식별계정 인증을 통한 생체정보;
b) 수집·검사된 생체정보로서, 본인의 생체정보가 공안기관 발급으로 인증된 CCCD 또는 CC 카드의 암호화 저장부 생체정보와 일치하거나, 전자식별인증시스템이 생성한 본인의 전자식별계정 인증 생체정보와 일치함을 보장;
c) 암호화 정보저장부가 없는 CCCD 카드 사용 시, 국가 인구 데이터베이스에 저장된 본인의 생체정보.</t>
  </si>
  <si>
    <t>Rà soát lại đáp ứng của hệ thống, giải pháp sắp triển khai xem đã đáp ứng: 
• Khóa chức năng khi sai &gt;10 lần, chỉ mở khi KH yêu cầu + nhận biết KH.
• Thời gian khớp sinh trắc học tối đa 3 phút.
• Đối chiếu STH với dữ liệu: chip CCCD / tài khoản định danh điện tử / CSDL quốc gia về dân cư.</t>
  </si>
  <si>
    <t>도입 예정 시스템·솔루션이 다음을 충족하는지 재점검:
• 10회 초과 오류 시 기능 잠금, 고객 요청 + 고객 확인 시에만 해제.
• 생체정보 일치 시간 최대 3분.
• 생체정보를 CCCD 칩 / 전자식별계정 / 국가 인구 데이터베이스와 대조.</t>
  </si>
  <si>
    <t>Mở/đóng tài khoản GDCK &amp; tài khoản lưu ký chứng khoán: xác thực khớp đúng sinh trắc học (Điều 9) với cá nhân &amp; người đại diện hợp pháp của tổ chức; hợp đồng xác nhận bằng chữ ký số (khoản 1 Điều 12).</t>
  </si>
  <si>
    <t>증권계좌·예탁계좌 개설/해지: 개인 및 법인 대표자에 대해 생체정보 일치 인증(제9조); 계약은 전자서명으로 확인(제12조 제1항).</t>
  </si>
  <si>
    <t>ĐIỀU 12–13 — 제12~13조</t>
  </si>
  <si>
    <t>Đóng tài khoản hiện qua quầy hoặc gọi điện xác nhận — CHƯA xác thực sinh trắc học. Cần:
• Cân nhắc mở tính năng đóng TK online. Bổ sung xác thực sinh trắc học khi đóng TK.
• KH tổ chức nếu cho mở eKYC cũng cần sinh trắc học khuôn mặt.</t>
  </si>
  <si>
    <t>현재 계좌 해지는 영업점 또는 전화 확인으로 진행 — 생체인증 미적용. 필요사항:
• 온라인 계좌 해지 기능 도입 검토. 계좌 해지 시 생체인증 추가.
• 법인 고객도 eKYC 개설을 허용하는 경우 얼굴 생체인증 필요.</t>
  </si>
  <si>
    <t>Giao dịch chứng khoán trực tuyến: áp dụng xác thực khớp đúng sinh trắc học (Điều 9); xác thực ít nhất với giao dịch đầu tiên mỗi phiên đăng nhập; xác thực &amp; giao dịch trên cùng một thiết bị (khoản 2 Điều 12).</t>
  </si>
  <si>
    <t>온라인 증권거래: 생체정보 일치 인증(제9조) 적용; 로그인 세션별 최초 거래 인증; 인증과 거래는 동일 기기에서 수행(제12조 제2항).</t>
  </si>
  <si>
    <t>Triển khai áp dụng xác thực sinh trắc học (Điều 9) cho GDCK trực tuyến — ít nhất với giao dịch đầu tiên mỗi phiên đăng nhập; xác thực &amp; giao dịch trên cùng một thiết bị.</t>
  </si>
  <si>
    <t>온라인 증권거래에 생체인증(제9조) 적용 시행 — 최소한 로그인 세션별 최초 거래에 대해; 인증과 거래는 동일 기기에서 수행.</t>
  </si>
  <si>
    <t xml:space="preserve">Mr Đức </t>
  </si>
  <si>
    <t>Đặt lệnh qua điện thoại: KH dùng số điện thoại đã đăng ký + tối thiểu số định danh cá nhân &amp; thông tin xác thực yếu tố bí mật; chỉ thực hiện khi thông tin trùng khớp dữ liệu đã lưu (khoản 3 Điều 12).</t>
  </si>
  <si>
    <t>전화 주문: 등록된 전화번호 + 최소 개인식별번호 및 비밀요소 인증정보 사용; 등록·보관된 정보와 일치할 때만 거래 수행(제12조 제3항).</t>
  </si>
  <si>
    <t>Hiện đáp ứng (chỉ giao dịch khi thông tin KH trùng khớp dữ liệu đã đăng ký/lưu). Theo dõi yêu cầu CS đã gửi BA: đồng bộ SĐT đăng ký của KH + hiển thị thông tin KH khi KH gọi đến NHSV từ đúng SĐT đã đăng ký.</t>
  </si>
  <si>
    <t>현재 충족(고객 정보가 등록·보관 데이터와 일치할 때만 거래). CS가 BA에 보낸 요청 추적: 고객 등록 전화번호 동기화 + 고객이 등록된 전화번호로 NHSV에 전화 시 고객 정보 표시.</t>
  </si>
  <si>
    <t>Rút/chuyển tiền khỏi tài khoản GDCK: &lt; 10 triệu VND áp dụng tối thiểu 1 hình thức tại Điều 7; ≥ 10 triệu VND áp dụng tối thiểu hình thức Xác thực khớp đúng thông tin sinh trắc học.</t>
  </si>
  <si>
    <t>증권계좌 출금·이체: 1천만 VND 미만 제7조 1가지 이상; 1천만 VND 이상 제9조 (생체인식) 인증 적용(제12조 제4항).</t>
  </si>
  <si>
    <t>Bổ sung xác thực rút tiền theo giá trị:
• Dưới 10 triệu: CHƯA yêu cầu OTP → áp dụng tối thiểu 1 hình thức tại Điều 7.
• Từ 10 triệu trở lên: CHƯA có sinh trắc học → áp dụng xác thực sinh trắc học.</t>
  </si>
  <si>
    <t>금액별 출금 인증 보완:
• 1천만 VND 미만: 현재 OTP 미요구 → 제7조의 1가지 이상 방식 적용.
• 1천만 VND 이상: 현재 생체인증 없음 → 생체인증 적용.</t>
  </si>
  <si>
    <t>Nhà đầu tư nước ngoài cư trú tại Việt Nam: mở, sử dụng, đóng tài khoản GDCK &amp; lưu ký theo Điều 12 (khoản 1 Điều 13).</t>
  </si>
  <si>
    <t>베트남 거주 외국인 투자자: 제12조에 따라 증권·예탁계좌 개설·이용·해지(제13조 제1항).</t>
  </si>
  <si>
    <t>N/A / 해당없음</t>
  </si>
  <si>
    <t>NĐT nước ngoài cư trú tại VN áp dụng như NĐT trong nước (Điều 12). Ms Ngân xác nhận hiện không cung cấp DV cho KH NN không cư trú (đã có danh sách AML xử lý trên BOS). Cần làm rõ/đáp ứng phạm vi NĐT NN cư trú.</t>
  </si>
  <si>
    <t>베트남 거주 외국인 투자자는 국내 투자자와 동일하게 적용(제12조). Ms Ngân은 현재 비거주 외국인 고객에게 서비스를 제공하지 않음을 확인(BOS에서 처리되는 AML 목록 보유). 거주 외국인 투자자 범위를 명확히 하고 충족 필요.</t>
  </si>
  <si>
    <t>Nhà đầu tư nước ngoài không cư trú: ủy quyền cho tổ chức KDCK nước ngoài/tổ chức có HĐ dịch vụ.
Phải  nhận biết KH &amp; tổ chức được ủy quyền theo pháp luật phòng, chống rửa tiền (khoản 2, 3, 4 Điều 13).</t>
  </si>
  <si>
    <t>비거주 외국인 투자자: 외국 증권사/서비스 계약 기관에 위임; 서비스 제공기관은 자금세탁방지법에 따라 고객 및 수임기관 확인(제13조 제2·3·4항).</t>
  </si>
  <si>
    <t>Ms Ngân xác nhận hiện không cung cấp DV cho KH NN không cư trú (đã có danh sách AML xử lý trên BOS). Sau này NHSV có dự kiến áp dụng hay không?</t>
  </si>
  <si>
    <t>Ms Ngân은 현재 비거주 외국인 고객에게 서비스를 제공하지 않음을 확인(BOS에서 처리되는 AML 목록 보유). 향후 NHSV가 적용할 계획이 있는지?</t>
  </si>
  <si>
    <t>Tuân thủ pháp luật về chứng khoán &amp; an ninh mạng khi triển khai API; dừng triển khai dịch vụ khi phát hiện API có nguy cơ gây rủi ro cho thị trường (khoản 1 Điều 14).</t>
  </si>
  <si>
    <t>API 도입 시 증권법 및 사이버보안 법규 준수; API가 시장 위험을 초래할 우려 발견 시 도입 중단(제14조 제1항).</t>
  </si>
  <si>
    <t>ĐIỀU 14 — 제14조</t>
  </si>
  <si>
    <t>Rà soát tuân thủ pháp luật về chứng khoán và ANM đối với triển khai API. Sau này cần theo dõi các văn bản hướng dẫn về các API có nguy cơ gây rủi ro cho thị trường</t>
  </si>
  <si>
    <t>API 도입에 대한 증권법 및 사이버보안 법규 준수 점검. 향후 시장 위험을 초래할 우려가 있는 API에 관한 지침 문서를 추적 필요.</t>
  </si>
  <si>
    <t>Mr Hoàng</t>
  </si>
  <si>
    <t>Tuân thủ pháp luật về giữ bí mật, cung cấp thông tin KH &amp; bảo vệ dữ liệu cá nhân; xử lý dữ liệu cá nhân chỉ phục vụ chính KH đó, trừ trường hợp pháp luật có quy định khác (khoản 2 Điều 14).</t>
  </si>
  <si>
    <t>비밀유지·고객정보 제공·개인정보보호 법규 준수; 개인정보 처리는 해당 고객 목적에 한정(법령에 다른 규정이 있는 경우 제외)(제14조 제2항).</t>
  </si>
  <si>
    <t>Cần check lại điều khoản trong HD với đối tác xem đã có điều khoản liên quan đến bảo vệ dữ liệu cá nhân chưa? (Tham chiếu luật bảo vệ dữ liệu cá nhân)</t>
  </si>
  <si>
    <t>파트너와의 계약 조항에 개인정보 보호 관련 조항이 있는지 재확인 필요(개인정보 보호법 참조).</t>
  </si>
  <si>
    <t>Dữ liệu xử lý phải được quản lý, lưu trữ, khai thác, sử dụng đúng mục đích tại hợp đồng &amp; phù hợp pháp luật; bảo đảm cập nhật, chính xác; trường hợp sai lệch phải đính chính, hiệu chỉnh kịp thời theo thỏa thuận các bên (khoản 3, 4 Điều 14).</t>
  </si>
  <si>
    <t>처리 데이터는 계약상 목적·법령에 부합하게 관리·보관·활용; 최신성·정확성 보장; 오류 시 당사자 합의에 따라 즉시 정정·보정(제14조 제3·4항).</t>
  </si>
  <si>
    <t>Check lại hợp đồng với đối tác STAG về các điều khoản liên quan</t>
  </si>
  <si>
    <t>STAG 파트너와의 계약에서 관련 조항 재확인.</t>
  </si>
  <si>
    <t>Có hợp đồng triển khai API với bên thứ ba (khoản 5 Điều 14).Nội dung HĐ : a) Cam kết an toàn-bảo mật &amp; bảo vệ dữ liệu KH; b) Cam kết dùng dữ liệu đúng phạm vi-mục đích &amp; chịu trách nhiệm khi rò rỉ/sai lệch/sai mục đích; c) Thông tin dịch vụ qua API; d) Phí dịch vụ (nếu có); đ) Cấp độ ANM hệ thống bên thứ ba; e) Quyền truy cập dữ liệu các bên; g) Thông báo khi nhân sự vi phạm; h) Trách nhiệm bồi thường &amp; cung cấp thông tin; i) Điều khoản chấm dứt HĐ</t>
  </si>
  <si>
    <t>제3자와 API 도입 계약 체결(제14조 제5항). 계약 내용: a) 안전·보안 및 고객정보 보호 약정; b) 데이터를 범위·목적에 맞게 사용하고 유출/오류/목적외 사용 시 책임지는 약정; c) API를 통한 서비스 정보; d) 서비스 수수료(있는 경우); đ) 제3자 시스템의 사이버보안 등급; e) 당사자별 데이터 접근 권한; g) 인력 위반 시 통보; h) 배상 및 정보제공 책임; i) 계약 해지 조항.</t>
  </si>
  <si>
    <t xml:space="preserve"> Hiện tại NHSV có đang cung cấp API cho đối tác Stag, HĐ này cần được review lại để đảm bảo các nội dung theo yêu cầu của thông tư </t>
  </si>
  <si>
    <t>현재 NHSV는 Stag 파트너에 API를 제공 중이며, 본 계약은 시행규칙 요구 내용을 충족하도록 재검토 필요.</t>
  </si>
  <si>
    <t xml:space="preserve">Mr Hoàng </t>
  </si>
  <si>
    <t>Lập &amp; lưu giữ hồ sơ kỹ thuật và hồ sơ phối hợp triển khai API tại hai bên (khoản 6 Điều 14).
Hồ sơ (khoản 6): a) Mô hình triển khai từng bên (sơ đồ luồng dữ liệu, phân vùng bảo mật, điểm kết nối API); b) Thông số kỹ thuật chi tiết (giao thức, điểm cuối, phiên bản, luồng dữ liệu, phương thức xác thực); c) Cơ chế xác thực &amp; phân quyền người dùng; d) Cơ chế quản lý-kiểm soát-giới hạn tần suất truy cập; đ) Hồ sơ biện pháp bảo vệ ANM; e) Tài liệu khác liên quan (nếu có)</t>
  </si>
  <si>
    <t>API 기술문서 및 협력 도입 문서를 양측에서 작성·보관(제14조 제6항). 문서(제6항): a) 당사자별 도입 모델(데이터 흐름도, 보안 구역 분할, API 연결점); b) 상세 기술사양(프로토콜, 엔드포인트, 버전, 데이터 흐름, 인증 방식); c) 사용자 인증 및 권한 부여 메커니즘; d) 접근 빈도 관리·통제·제한 메커니즘; đ) 사이버보안 보호조치 문서; e) 기타 관련 자료(있는 경우).</t>
  </si>
  <si>
    <t>Rà soát lại hồ sơ kỹ thuật và hồ sơ phối hợp triển khai API của Stag và NHSV xem hồ sơ đã có đủ các thông tin hay chưa? Và đang được lưu trữ như thế nào?</t>
  </si>
  <si>
    <t>Stag와 NHSV의 API 기술문서 및 협력 도입 문서를 재점검하여 필요한 정보가 모두 있는지, 어떻게 보관되고 있는지 확인.</t>
  </si>
  <si>
    <t>Hoàn thiện cơ sở hạ tầng hệ thống thông tin phục vụ triển khai API; xây dựng và ban hành các tài liệu hướng dẫn kết nối, xử lý dữ liệu (khoản 1, 2 Điều 15).</t>
  </si>
  <si>
    <t>API 도입을 위한 정보시스템 인프라 완비; 연동·데이터 처리 안내 문서 수립·발행(제15조 제1·2항).</t>
  </si>
  <si>
    <t>ĐIỀU 15 — 제15조</t>
  </si>
  <si>
    <t>Ban hành tài liệu hướng dẫn kết nối và xử lý dữ liệu (hiện CHƯA ban hành).</t>
  </si>
  <si>
    <t>연동 및 데이터 처리 안내 문서 발행(현재 미발행).</t>
  </si>
  <si>
    <t>Cung cấp công cụ/chức năng cho phép KH: a) Tra cứu các dữ liệu KH đồng ý cho bên thứ 3 xử lý; b) Rút lại sự đồng ý theo quy định pháp luật (khoản 5 Điều 15).</t>
  </si>
  <si>
    <t>고객에게 다음 도구·기능 제공: a) 고객이 처리에 동의한 데이터 조회; b) 법령에 따른 동의 철회(제15조 제5항).</t>
  </si>
  <si>
    <t>Cân nhắc bổ sung phương án xử lý: công cụ cho KH tra cứu dữ liệu đã đồng ý chia sẻ &amp; rút lại sự đồng ý.</t>
  </si>
  <si>
    <t>처리 방안 보완 검토: 고객이 공유에 동의한 데이터를 조회하고 동의를 철회할 수 있는 도구.</t>
  </si>
  <si>
    <t>Kiểm soát truy cập API (khoản 7 Điều 15): tích hợp rate limit; ban hành &amp; công khai quy định giới hạn tần suất, phân mức theo nhóm bên thứ ba; tạm ngừng khi bên thứ ba vượt giới hạn; kiểm soát số lượng IP &amp; thời gian truy cập.</t>
  </si>
  <si>
    <t>API 접근 통제(제15조 제7항): rate limit 통합; 빈도제한 규정 발행·공개, 제3자 그룹별 차등; 한도 초과 시 일시중단; 접근 IP 수·시간 통제.</t>
  </si>
  <si>
    <t>Áp dụng phương thức kiểm soát truy cập API (hiện CHƯA có): tích hợp rate limit; ban hành &amp; công khai quy định giới hạn tần suất phân mức theo nhóm bên thứ ba; tạm ngừng khi vượt giới hạn; kiểm soát số IP &amp; thời gian truy cập.</t>
  </si>
  <si>
    <t>API 접근통제 방식 적용(현재 없음): rate limit 통합; 제3자 그룹별 차등 빈도제한 규정 발행·공개; 한도 초과 시 일시중단; 접근 IP 수 및 시간 통제.</t>
  </si>
  <si>
    <t>Triển khai hệ thống thử nghiệm API &amp; công khai thông tin về hệ thống thử nghiệm trên trang thông tin điện tử chính thức (khoản 8 Điều 15).</t>
  </si>
  <si>
    <t>API 테스트(sandbox) 시스템 구축 및 공식 전자사이트에 테스트 시스템 정보 공개(제15조 제8항).</t>
  </si>
  <si>
    <t>ĐIỀU 15 — 제15조 (tiếp)</t>
  </si>
  <si>
    <t>Công khai thông tin về hệ thống thử nghiệm API trên website NHSV (hiện CHƯA công khai).</t>
  </si>
  <si>
    <t>NHSV 웹사이트에 API 테스트 시스템 정보 공개(현재 미공개).</t>
  </si>
  <si>
    <t>Chịu trách nhiệm lựa chọn, thẩm định, giám sát &amp; quản lý bên thứ ba; tạm ngừng/chấm dứt kết nối khi vi phạm pháp luật, vi phạm thỏa thuận hoặc có nguy cơ mất an toàn (khoản 9, 10 Điều 15).</t>
  </si>
  <si>
    <t>제3자 선정·심사·감독·관리 책임; 법령·약정 위반 또는 안전 위협 시 연동 일시중단/해지(제15조 제9·10항).</t>
  </si>
  <si>
    <t>Ban hành quy định lựa chọn - thẩm định - giám sát - quản lý bên thứ ba; khi thực hiện phải lưu bằng chứng (tham khảo mô hình ngân hàng).</t>
  </si>
  <si>
    <t>제3자 선정·심사·감독·관리 규정 발행; 시행 시 증빙 보관 필요(은행 모델 참조).</t>
  </si>
  <si>
    <t>Cập nhật hoặc thu hồi quyền truy cập dữ liệu của bên thứ ba khi có thay đổi theo hợp đồng (khoản 11 Điều 15).</t>
  </si>
  <si>
    <t>계약 변경 시 제3자의 데이터 접근 권한 갱신 또는 회수(제15조 제11항).</t>
  </si>
  <si>
    <t>Xây dựng giải pháp thu hồi/cập nhật quyền truy cập của bên thứ ba (tính năng mở-đóng) + quy định nội bộ; quy định rõ trong hợp đồng hai bên.</t>
  </si>
  <si>
    <t>제3자 접근권한 회수/갱신 솔루션 구축(개방-차단 기능) + 내부 규정; 양측 계약에 명확히 규정.</t>
  </si>
  <si>
    <t>Giám sát hoạt động truy cập (khoản 12): có giải pháp phát hiện &amp; ngăn chặn truy cập bất thường/trái phép; ghi nhật ký toàn bộ việc sử dụng API để phục vụ kiểm tra (khoản 12 Điều 15).</t>
  </si>
  <si>
    <t>접근활동 감시(제12항): 비정상·무단 접근 탐지·차단 솔루션 보유; 검사 대비 API 사용 전체 로그 기록(제15조 제12항).</t>
  </si>
  <si>
    <t>• Check lại yêu cầu thời gian lưu log API (hiện chỉ lưu 1 tháng).
• Bổ sung rate limit trên từng API để ngăn truy cập trái phép.</t>
  </si>
  <si>
    <t>• API 로그 보관 기간 요건 재확인(현재 1개월만 보관).
• 무단 접근 방지를 위해 API별 rate limit 추가.</t>
  </si>
  <si>
    <t>Cung cấp thông tin cho KH về dịch vụ API &amp; rủi ro khi sử dụng; phối hợp bên thứ ba &amp; cơ quan có thẩm quyền giải quyết tranh chấp; chịu trách nhiệm trước pháp luật về quản lý kết nối qua API (khoản 13, 14, 15 Điều 15).</t>
  </si>
  <si>
    <t>고객에게 API 서비스 및 이용 위험 정보 제공; 제3자·관할기관과 분쟁 해결 협력; API 연동 관리에 대한 법적 책임(제15조 제13·14·15항).</t>
  </si>
  <si>
    <t>Lồng ghép thông tin về dịch vụ API &amp; rủi ro khi sử dụng vào phần công bố thông tin trên website.</t>
  </si>
  <si>
    <t>API 서비스 및 이용 위험 정보를 웹사이트 공시 부분에 통합.</t>
  </si>
  <si>
    <t>Tổ chức cung cấp dịch vụ đã kết nối, xử lý dữ liệu với bên thứ ba qua API: lập danh mục các API đang triển khai &amp; thông tin chi tiết bảo đảm tuân thủ Thông tư, gửi UBCKNN trong thời hạn 03 tháng kể từ ngày Thông tư có hiệu lực (Điều 31).</t>
  </si>
  <si>
    <t>제3자와 API로 연동·데이터 처리 중인 서비스 제공기관: 시행규칙 준수를 보장하는 도입 중 API 목록 및 상세정보를 작성하여 시행일로부터 3개월 이내 UBCKNN에 제출(제31조).</t>
  </si>
  <si>
    <t>ĐIỀU 31 — 제31조</t>
  </si>
  <si>
    <t>Điều khoản chuyển tiếp (Điều 31): lập danh mục API đang triển khai (theo mẫu báo cáo) và nộp UBCKNN trong 3 tháng kể từ ngày Thông tư có hiệu lực.</t>
  </si>
  <si>
    <t>경과 규정(제31조): 도입 중인 API 목록(보고 양식에 따라)을 작성하여 시행규칙 발효일로부터 3개월 이내 UBCKNN에 제출.</t>
  </si>
  <si>
    <t>Tuân thủ bảo vệ ANM theo cấp độ; trực tiếp quản lý, vận hành hệ thống; thiết bị có bản quyền, nguồn gốc rõ ràng; có kế hoạch nâng cấp, thay thế thiết bị sắp hết vòng đời, trang thiết bị hạ tầng có khả năng cài đặt phiên bản phần mềm mới (Điều 16).</t>
  </si>
  <si>
    <t>등급별 사이버보안 준수; 시스템 직접 관리·운영; 정품·출처 명확 장비; 수명 임박 장비 교체 계획 및 신규 SW 설치 가능 인프라 확보(제16조).</t>
  </si>
  <si>
    <t>ĐIỀU 16–17 — 제16~17조</t>
  </si>
  <si>
    <t>Lập checklist đầu mục công việc quản lý &amp; vận hành hệ thống: ai làm, đã ký HĐ lao động chưa (parttime cũng được công nhận), có chứng chỉ phù hợp chưa. Tham khảo tiêu chí mẫu báo cáo Phụ lục II.</t>
  </si>
  <si>
    <t>시스템 관리·운영 업무 항목 체크리스트 작성: 담당자, 근로계약 체결 여부(파트타임도 인정), 적합 자격증 보유 여부. 부록 II 보고 양식 기준 참조.</t>
  </si>
  <si>
    <t xml:space="preserve">Mr Văn </t>
  </si>
  <si>
    <t>Kiểm tra, đánh giá ANM trước khi đưa vào vận hành &amp; định kỳ hằng năm bởi đơn vị có thẩm quyền; sử dụng chứng thư số hợp lệ để xác thực trang thông tin điện tử, hệ thống thư điện tử (Điều 16).</t>
  </si>
  <si>
    <t>운영 전 및 매년 정기적으로 권한 있는 기관이 사이버보안 점검·평가; 유효 인증서로 웹사이트·이메일 시스템 인증(제16조).</t>
  </si>
  <si>
    <t>Yêu cầu CMC cung cấp tài liệu chứng minh có đủ thẩm quyền đánh giá ANM</t>
  </si>
  <si>
    <t>CMC에 사이버보안 평가 권한을 입증하는 자료 제공 요청.</t>
  </si>
  <si>
    <t>Ban hành quy trình vận hành theo dõi quản trị hàng ngày, xử lý sự cố, sao lưu-dự phòng-khôi phục hệ thống &amp; dữ liệu, quy trình kiểm soát rủi ro &amp; quy định bảo vệ dữ liệu cá nhân (Điều 16).</t>
  </si>
  <si>
    <t>일일 운영·관리 모니터링, 사고처리, 시스템·데이터 백업·예비·복구, 위험통제, 개인정보보호 절차 발행(제16조).</t>
  </si>
  <si>
    <t>Phần lớn đã OK (ứng cứu sự cố, tách môi trường, máy chủ trung gian, nhân sự CNTT, kế hoạch đào tạo/diễn tập). Cần:
• Thực tế triển khai đào tạo/diễn tập ANM hằng năm (mới có kế hoạch).
• Bổ sung nhân sự CNTT trên thực tế (1 nhân sự đang thuê parttime để đủ chứng chỉ).
• Bổ sung quy định bảo vệ dữ liệu cá nhân vào QT QTRR GDTT hoặc văn bản khác.</t>
  </si>
  <si>
    <t>대부분 충족(사고 대응, 환경 분리, 중계 서버, IT 인력, 교육/훈련 계획). 필요사항:
• 매년 사이버보안 교육/훈련 실제 시행(현재 계획만 있음).
• 실제 IT 인력 보강(자격증 충족을 위해 파트타임 1명 채용 중).
• 온라인거래 위험관리 절차 또는 기타 문서에 개인정보 보호 규정 추가.</t>
  </si>
  <si>
    <t>Phần mềm ứng dụng trực tuyến: kiểm soát phiên đăng nhập (tự ngắt khi không thao tác); chống đăng nhập tự động; phòng ngừa rò rỉ dữ liệu (DLP) (Điều 18).</t>
  </si>
  <si>
    <t>온라인 응용 소프트웨어: 로그인 세션 통제(미조작 시 자동 종료); 자동 로그인 방지; 데이터 유출 방지(DLP)(제18조).</t>
  </si>
  <si>
    <t>ĐIỀU 18 — 제18조</t>
  </si>
  <si>
    <t>NHSV đã mua giải pháp DLP nhưng chỉ đáp ứng được check dữ liệu của người dùng là nhân viên công ty chứ chưa áp dụng, tích hợp đc với các ứng dụng online app web API</t>
  </si>
  <si>
    <t>NHSV는 DLP 솔루션을 구매했으나 회사 직원 사용자의 데이터 점검만 가능하며, 온라인 앱·웹·API와는 아직 적용·통합하지 못함.</t>
  </si>
  <si>
    <t>Phần mềm ứng dụng trực tuyến: lưu thông tin định danh thiết bị di động/máy tính; lưu nhật ký giao dịch chứng khoán &amp; nhật ký rút/chuyển tiền với đầy đủ trường thông tin theo quy định (Điều 18).</t>
  </si>
  <si>
    <t>온라인 응용 소프트웨어: 모바일/PC 기기 식별정보 저장; 규정 항목을 갖춘 증권거래 로그 및 출금·이체 로그 보관(제18조).</t>
  </si>
  <si>
    <t xml:space="preserve">Bổ sung lưu thông tin định danh thiết bị:
• Nhật ký GDCK: KH dùng WTS trên điện thoại/MacOS hoặc trình duyệt khác Safari hiện chưa lấy được định danh thiết bị.
• Nhật ký rút/chuyển tiền: CHƯA lưu định danh thiết bị.
</t>
  </si>
  <si>
    <t>기기 식별정보 저장 보완:
• 증권거래 로그: 고객이 휴대전화/MacOS의 WTS 또는 Safari 외 브라우저를 사용하는 경우 현재 기기 식별정보를 취득하지 못함.
• 출금·이체 로그: 기기 식별정보 미저장.</t>
  </si>
  <si>
    <t>Mobile App: Phải đảm bảo đáp ứng cả các yêu cầu từ mục 1-3 điều 18 và đăng ký kho ứng dụng chính thức; cài trên thiết bị sử dụng SĐT KH đã đăng ký; giải pháp phòng, chống, phát hiện hành vi can thiệp trái phép vào ứng dụng GDTT trên thiết bị di động của KH; không cho phép lưu mã PIN/mã khóa bí mật; xác thực khi đăng nhập lần đầu hoặc đăng nhập trên thiết bị mới (Điều 18).</t>
  </si>
  <si>
    <t>모바일앱: 제18조 제1~3항 요건을 모두 충족하고 공식 앱스토어에 등록; 고객이 등록한 휴대전화 번호를 사용하는 기기에 설치; 고객 모바일 기기 내 온라인거래앱에 대한 무단 개입 행위 방지·차단·탐지 솔루션; PIN/비밀키 저장 금지; 최초 로그인 또는 새 기기 로그인 시 인증(제18조).</t>
  </si>
  <si>
    <t>Xây dựng giải pháp (hiện tại chưa có):
• Xác minh SĐT cài đúng thiết bị đã đăng ký (VD lưu IMEI khi đăng nhập lần đầu, yêu cầu xác thực lại khi đổi thiết bị).
• Phòng/chống/phát hiện hành vi can thiệp trái phép vào ứng dụng GDTT trên thiết bị KH.</t>
  </si>
  <si>
    <t>솔루션 구축(현재 없음):
• 등록된 기기에 올바른 전화번호가 설치되었는지 확인(예: 최초 로그인 시 IMEI 저장, 기기 변경 시 재인증 요구).
• 고객 기기 내 온라인거래앱에 대한 무단 개입 행위 방지·차단·탐지.</t>
  </si>
  <si>
    <t>Kết nối từ bên ngoài mạng nội bộ vào hệ thống giao dịch trực tuyến để quản trị chỉ được thực hiện trong trường hợp không thể kết nối từ mạng nội bộ và phải tuân thủ các quy định : được cấp có thẩm quyền phê duyệt; dùng VPN/tương đương; thiết bị kết nối được cài đặt phần mềm bảo đảm an toàn, bảo mật; tối thiểu 02 yếu tố xác thực; giao thức mã hóa (Điều 19).</t>
  </si>
  <si>
    <t>관리 목적으로 내부망 외부에서 온라인거래시스템에 접속하는 것은 내부망 접속이 불가능한 경우에만 수행하며 다음 규정을 준수: 권한기관 승인; VPN/동등 수단 사용; 연결 기기에 안전·보안 보장 소프트웨어 설치; 최소 2요소 인증; 암호화 프로토콜(제19조).</t>
  </si>
  <si>
    <t>ĐIỀU 19 — 제19조</t>
  </si>
  <si>
    <t>Ban hành quy trình nội bộ quản lý truy cập vào hệ thống GDTT từ bên ngoài: hiện phê duyệt VPN chỉ qua email, chưa lưu văn bản, chưa có quy định đối chiếu.</t>
  </si>
  <si>
    <t>외부에서 온라인거래시스템 접근을 관리하는 내부 절차 발행: 현재 VPN 승인은 이메일로만 진행되며, 문서 미보관, 대조 규정 없음.</t>
  </si>
  <si>
    <t>Có hệ thống/phương tiện lưu trữ độc lập để sao lưu dự phòng; kiểm tra khả năng khôi phục định kỳ 06 tháng/lần &amp; lập biên bản xác nhận, biên bản xác nhận lưu tối thiểu 03 năm phục vụ kiểm tra-đánh giá nội bộ hoặc kiểm toán (khoản 2 Điều 20).</t>
  </si>
  <si>
    <t>독립 저장 시스템/매체 보유; 6개월마다 복구 점검·확인서 작성, 내부점검·감사 대비 최소 3년 보관(제20조 제2항).</t>
  </si>
  <si>
    <t>ĐIỀU 20–22 — 제20~22조</t>
  </si>
  <si>
    <t>Bổ sung vào văn bản nội bộ về sao lưu dự phòng: quy định kiểm tra khả năng khôi phục định kỳ 6 tháng/lần &amp; lập + lưu biên bản (tối thiểu 3 năm). Đang thực hiện theo ATTT Level 3.</t>
  </si>
  <si>
    <t>예비 백업에 관한 내부 문서 보완: 6개월마다 복구 가능성 점검 + 확인서 작성·보관(최소 3년) 규정. 현재 정보보안 Level 3에 따라 시행 중.</t>
  </si>
  <si>
    <t>Lưu trữ chứng từ điện tử, dữ liệu điện tử về giao dịch &amp; thông tin của KH theo pháp luật. Dữ liệu, cấu hình hệ thống GDTT &amp; thiết bị an toàn bảo mật: tối thiểu 03 bản (02 bản trên 02 thiết bị khác nhau, 01 bản độc lập); mã hóa dữ liệu trên thiết bị lưu trữ (khoản 3, 5 Điều 20).</t>
  </si>
  <si>
    <t>고객 거래 전자증빙·전자데이터 법령에 따라 보관. 온라인거래 시스템 데이터·구성 및 보안장비: 최소 3부(2부는 별개 기기, 1부 독립); 저장장치 데이터 암호화(제20조 제3·5항).</t>
  </si>
  <si>
    <t>Triển khai giải pháp mã hóa dữ liệu trên thiết bị lưu trữ (hiện mới lưu trữ, CHƯA mã hóa).</t>
  </si>
  <si>
    <t>저장장치 데이터 암호화 솔루션 시행(현재 저장만 하고 암호화 미적용).</t>
  </si>
  <si>
    <t>Lưu trữ, bảo quản đầy đủ, chi tiết thông tin sinh trắc học của KH &amp; kết quả đối chiếu sinh trắc học theo khoản 6 Điều 9 (khoản 4 Điều 20).</t>
  </si>
  <si>
    <t>고객 생체정보 및 제9조 제6항에 따른 생체 대조 결과를 완전·상세 보관(제20조 제4항).</t>
  </si>
  <si>
    <t>Lưu trữ, bảo quản đầy đủ thông tin sinh trắc học của KH →  xác thực nhiều lần cho KH cũ; KH mới mới so khớp với Bộ Công An.</t>
  </si>
  <si>
    <t>고객 생체정보를 완전하게 저장·보관 → 기존 고객은 다회 인증; 신규 고객만 공안부와 대조.</t>
  </si>
  <si>
    <t>Bảo mật dữ liệu KH: dữ liệu KH an toàn theo pháp luật; mã hóa/che dấu yếu tố bí mật &amp; sinh trắc học; phân quyền truy cập đúng chức năng &amp; giám sát mỗi lần truy cập; quản lý truy cập thiết bị/phương tiện lưu trữ; thông báo KH &amp; báo cáo UBCKNN khi lộ, lọt dữ liệu (Điều 22).</t>
  </si>
  <si>
    <t>고객 데이터 보안: 법령에 따른 안전 보장; 비밀요소·생체정보 암호화/마스킹; 기능별 접근권한 부여 및 접근 시마다 감시; 저장 장치·매체 접근 관리; 유출 시 고객 통지 및 UBCKNN 보고(제22조).</t>
  </si>
  <si>
    <t>• Triển khai mã hóa database &amp; thông tin nhạy cảm của KH (hiện CHƯA có).
• Ban hành quy trình nội bộ quản lý truy cập (đang dùng Data Firewall của SNET nhưng chưa có quy trình).
• Đưa quy định thông báo KH &amp; báo cáo UBCKNN khi lộ/lọt dữ liệu vào quy trình.</t>
  </si>
  <si>
    <t>• 데이터베이스 및 고객 민감정보 암호화 시행(현재 없음).
• 접근관리 내부 절차 발행(SNET의 Data Firewall 사용 중이나 절차 없음).
• 데이터 유출 시 고객 통지 및 UBCKNN 보고 규정을 절차에 반영.</t>
  </si>
  <si>
    <t>Báo cáo năm về hoạt động cung cấp dịch vụ trực tuyến kèm báo cáo về việc kiểm tra, đánh giá an ninh mạng định kỳ: chậm nhất ngày 31 tháng 01 năm tiếp theo (Điều 25).</t>
  </si>
  <si>
    <t>온라인 서비스 제공활동 연간보고서(정기 사이버보안 점검·평가 보고서 첨부): 익년 1월 31일까지(제25조).</t>
  </si>
  <si>
    <t>ĐIỀU 25 — 제25조</t>
  </si>
  <si>
    <t>Chọn đơn vị được cấp phép để đánh giá an ninh mạng định kỳ (hiện CHƯA có). Báo cáo năm về hoạt động GDTT vẫn đang nộp hằng năm — duy trì.</t>
  </si>
  <si>
    <t>정기 사이버보안 평가를 위한 인가 기관 선정(현재 없음). 온라인거래 활동 연간보고서는 매년 제출 중 — 유지.</t>
  </si>
  <si>
    <t>Báo cáo UBCKNN về việc triển khai API: tối thiểu 07 ngày làm việc trước khi thực hiện (Điều 25).</t>
  </si>
  <si>
    <t>API 도입에 관한 UBCKNN 보고: 시행 최소 7영업일 전(제25조).</t>
  </si>
  <si>
    <t>NHSV đang cung cấp API cho Stag nhưng CHƯA báo cáo UBCKNN  (lưu ý: theo TT134 hiện hành đang là vi phạm do không cung cấp dịch vụ trực tiếp cho KH).</t>
  </si>
  <si>
    <t>NHSV는 Stag에 API를 제공 중이나 UBCKNN에 미보고(참고: 현행 TT134상 고객에게 직접 서비스를 제공하지 않아 위반에 해당).</t>
  </si>
  <si>
    <t>Trang thông tin điện tử chính thức &amp; phần mềm ứng dụng chứng khoán trực tuyến phải công bố các quy định về dịch vụ trực tuyến, những rủi ro có thể xảy ra khi KH thực hiện dịch vụ trực tuyến và trách nhiệm bồi thường của mỗi bên khi xảy ra rủi ro (khoản 1 Điều 26).</t>
  </si>
  <si>
    <t>공식 웹사이트 및 온라인 증권앱은 온라인 서비스 규정, 고객 이용 시 발생 가능한 위험, 위험 발생 시 각 당사자의 배상책임을 공시(제26조 제1항).</t>
  </si>
  <si>
    <t>ĐIỀU 26 — 제26조</t>
  </si>
  <si>
    <t>Bản công bố rủi ro đã có trên website (Cong_bo_rui_ro_GD_truc_tuyen.pdf) nhưng CHƯA có trên phần mềm → đưa bản công bố lên tất cả ứng dụng trading online (HTS, WTS, MTS/NHSV Pro).</t>
  </si>
  <si>
    <t>위험 공시 자료는 웹사이트에 게시됨(Cong_bo_rui_ro_GD_truc_tuyen.pdf)이나 소프트웨어에는 없음 → 모든 온라인 트레이딩 앱(HTS, WTS, MTS/NHSV Pro)에 공시 자료 게시.</t>
  </si>
  <si>
    <t>Công khai danh mục các dịch vụ API đang triển khai (nếu có) để cung cấp dịch vụ trực tuyến trên trang thông tin điện tử (khoản 2 Điều 26).</t>
  </si>
  <si>
    <t>온라인 서비스 제공을 위해 도입 중인 API 서비스 목록(있는 경우)을 웹사이트에 공개(제26조 제2항).</t>
  </si>
  <si>
    <t>Khi Thông tư  ban hành &amp; có hiệu lực: tổng hợp danh mục dịch vụ API đang triển khai (tên dịch vụ, phạm vi dữ liệu, hình thức xác thực-bảo mật, danh sách bên thứ ba) báo cáo Ủy ban &amp; công bố trên website.</t>
  </si>
  <si>
    <t>시행규칙 공포·발효 시: 도입 중인 API 서비스 목록(서비스명, 데이터 범위, 인증·보안 방식, 제3자 목록)을 종합하여 UBCKNN에 보고하고 웹사이트에 공개.</t>
  </si>
  <si>
    <t>Checklist tuân thủ — Chương II  ·  제2장 준수 점검표  (Đánh giá tình trạng tuân thủ của NHSV)</t>
  </si>
  <si>
    <t>STT</t>
  </si>
  <si>
    <t>Mục</t>
  </si>
  <si>
    <t>Điều khoản</t>
  </si>
  <si>
    <t>Yêu cầu (Tiếng Việt)</t>
  </si>
  <si>
    <t>요건 (한국어)</t>
  </si>
  <si>
    <t>Check (Nhung)</t>
  </si>
  <si>
    <t>Ghi chú / Đánh giá
비고 / 평가</t>
  </si>
  <si>
    <t>Phụ trách
담당</t>
  </si>
  <si>
    <t xml:space="preserve">Note </t>
  </si>
  <si>
    <t>MỤC 1 · 제1절_Yêu cầu chung</t>
  </si>
  <si>
    <t>Cần hành động</t>
  </si>
  <si>
    <r>
      <t xml:space="preserve">Nội dung công bố (khoản 2): 
a) Cách thức cung cấp &amp; truy cập dịch vụ theo từng phương tiện truy cập: https://nhsv.vn/page/cong-cu-giao-dich.html
</t>
    </r>
    <r>
      <rPr>
        <sz val="9"/>
        <color rgb="FFFF0000"/>
        <rFont val="Aptos Narrow"/>
        <family val="2"/>
      </rPr>
      <t>b) Hạn mức giao dịch (nếu có) &amp; hình thức xác thực GD =&gt; cần bổ sung hình thức xác thực GD</t>
    </r>
    <r>
      <rPr>
        <sz val="9"/>
        <rFont val="Aptos Narrow"/>
        <family val="2"/>
      </rPr>
      <t xml:space="preserve">
c) Trang thiết bị cần thiết &amp; điều kiện sử dụng: https://nhsv.vn/page/huong-dan-giao-dich-tren-mobile-nhsv-pro.html
</t>
    </r>
    <r>
      <rPr>
        <sz val="9"/>
        <color rgb="FFFF0000"/>
        <rFont val="Aptos Narrow"/>
        <family val="2"/>
      </rPr>
      <t>d) Các rủi ro theo khoản 1 Điều 26: https://nhsv.vn/uploadfile/source/Thuvientailieu/Cong_bo_rui_ro_GD_truc_tuyen.pdf (đã có nhưng cần chi tiết hơn)</t>
    </r>
    <r>
      <rPr>
        <sz val="9"/>
        <rFont val="Aptos Narrow"/>
        <family val="2"/>
      </rPr>
      <t xml:space="preserve">
e) Thông tin khác cần thiết.</t>
    </r>
  </si>
  <si>
    <t>Comp, Legal, Mr Duc</t>
  </si>
  <si>
    <t>Legal và Pháp chế lead - Phối hợp với IT</t>
  </si>
  <si>
    <t>Cần check lại</t>
  </si>
  <si>
    <r>
      <t xml:space="preserve">Phụ lục I TT – BÁO CÁO THIẾT KẾ HỆ THỐNG GIAO DỊCH TRỰC TUYẾN  gồm: tài liệu về nhân sự vận hành hệ thống, hệ thống giao dịch, giải pháp kỹ thuật bảo đảm an toàn hệ thống, hệ thống lưu trữ dữ liệu dự phòng và khắc phục sự cố.
Ngày 10/5/2017, UBCKNN ban hành Quyết định số 454/QĐ-UBCK về việc chấp thuận đăng ký cung cấp dịch vụ giao dịch chứng khoán trực tuyến của CTCP Chứng khoán Woori CBV https://ssc.gov.vn/webcenter/portal/ubck/pages_r/l/chitit?dDocName=APPSSCGOVVN162112128 
(trước hiệu lực của TT134/2017)
</t>
    </r>
    <r>
      <rPr>
        <sz val="9"/>
        <color rgb="FFFF0000"/>
        <rFont val="Aptos Narrow"/>
        <family val="2"/>
      </rPr>
      <t>-&gt; Check lại xem có phải làm lại hồ sơ đki cấp dịch vụ GDTT hay ko</t>
    </r>
  </si>
  <si>
    <t>Cung cấp dịch vụ phải thể hiện bằng hợp đồng hoặc điều khoản của hợp đồng với khách hàng (khoản 4 Điều 5).</t>
  </si>
  <si>
    <t>서비스 제공은 고객과의 계약 또는 계약 조항으로 표시되어야 함(제5조 제4항).</t>
  </si>
  <si>
    <r>
      <t xml:space="preserve">Phương thức giao dịch trực tuyến &amp; loại giao dịch tương ứng =&gt; Đã có
SĐT di dộng đăng ký sử dụng dịch vụ =&gt; Đã có + biện pháp xác minh SĐT thuộc </t>
    </r>
    <r>
      <rPr>
        <sz val="9"/>
        <color rgb="FFFF0000"/>
        <rFont val="Aptos Narrow"/>
        <family val="2"/>
      </rPr>
      <t>quyền sử dụng hợp pháp của KH =&gt; Chưa có</t>
    </r>
    <r>
      <rPr>
        <sz val="9"/>
        <rFont val="Aptos Narrow"/>
        <family val="2"/>
      </rPr>
      <t xml:space="preserve">
Các rủi ro &amp; trách nhiệm bồi thường của mỗi bên =&gt; Đã có</t>
    </r>
  </si>
  <si>
    <t xml:space="preserve">Có thể kết nối với nhà mạng để xử lý -&gt; Mr Đức trao đổi với nhà mạng </t>
  </si>
  <si>
    <r>
      <t xml:space="preserve">Đã có các Quy trình sau: QT mở tài khoản eKYC; QT QLL GDTT; QT đăng ký, hủy sử dụng DV GDCKTT; QT KSRR trong HĐ GDTT; QT khắc phục sự cố hệ thống GDTT; QT vận hành hệ thống GDTT HNX/HSX
</t>
    </r>
    <r>
      <rPr>
        <sz val="9"/>
        <color rgb="FFFF0000"/>
        <rFont val="Aptos Narrow"/>
        <family val="2"/>
      </rPr>
      <t>-&gt; Cần bổ sung các nội dung vào Quy trình hoặc bổ sung các Quy trình sau:
QT rút tiền: bổ sung nội dung xác thực theo giá trị giao dịch
QT mở tài khoản eKYC + đóng tài khoản: bổ sung nội dung xác thực
QT quản lý lệnh: bổ sung các nội dung xác thực lệnhCân nhắc bổ sung Quy trình tổng quát về xác thực giao dịch/xác thực thiết bị</t>
    </r>
  </si>
  <si>
    <t>KSNB +Legal + CS</t>
  </si>
  <si>
    <t>Ghi nhận thông tin về các yêu cầu giao dịch của khách hàng trên hệ thống; lưu trữ để tra cứu được khi cần thiết (khoản 6 Điều 5).</t>
  </si>
  <si>
    <t>고객 거래요청 정보를 시스템에 기록; 필요 시 조회 가능하도록 보관(제5조 제6항).</t>
  </si>
  <si>
    <t>OK</t>
  </si>
  <si>
    <t>Đặt lệnh: đang quản lý qua BOS</t>
  </si>
  <si>
    <t>Cần tham khảo các công ty khác về cách thực hiện lấy thông tin địa chỉ MAC, Mobile trình duyệt + Web trên MAC OS ko lấy được</t>
  </si>
  <si>
    <t>Thông báo kết quả thực hiện lệnh cho khách hàng ngay sau khi khớp, không vượt quá 10 giây kể từ thời điểm lệnh được khớp (khoản 7 Điều 5).</t>
  </si>
  <si>
    <t>체결 즉시 고객에게 결과 통지; 체결 시점부터 10초 초과 금지(제5조 제7항).</t>
  </si>
  <si>
    <t>Hiện tại đã có thông báo đẩy/ notification trên toàn bộ các kênh giao dịch: NHSV Pro, WTS/HTS</t>
  </si>
  <si>
    <t>Trong trường hợp quá 10s chưa có phương án bổ sung, trên thực tế khó xảy ra</t>
  </si>
  <si>
    <r>
      <t>Mở TKCK: xác thực hình thức OCR cho CCCD &amp; khuôn mặt
Xác thực giao dịch đặt lệnh CK</t>
    </r>
    <r>
      <rPr>
        <sz val="9"/>
        <color rgb="FFFF0000"/>
        <rFont val="Aptos Narrow"/>
        <family val="2"/>
      </rPr>
      <t xml:space="preserve"> -&gt; Việc xác thực giao dịch phải được thực hiện ít nhất 1 lần đối với giao dịch đầu tiên của mỗi phiên đăng nhập của khách hàng</t>
    </r>
  </si>
  <si>
    <t>Thêm 1 bước smart OTP trước khi đặt lệnh, tham khảo SSI</t>
  </si>
  <si>
    <t>Khi cung cấp dịch vụ, công ty chứng khoán phải trực tiếp thực hiện: 
Kiểm soát tính hợp lệ của lệnh đặt và chuyển lệnh vào hệ thống giao dịch chứng khoán của Sở GDCK Việt Nam và công ty con (điểm c khoản 8 Điều 5).</t>
  </si>
  <si>
    <t>c) 주문의 유효성을 통제하고 베트남거래소(VNX) 및 자회사의 증권거래 시스템으로 주문 전송(제5조 제8항 c호).</t>
  </si>
  <si>
    <t>Áp dụng hình thức xác thực giao dịch điện tử theo một trong 6 hình thức tại Điều 7: OTP (Điều 8), khớp đúng thông tin sinh trắc học (Điều 9), khớp đúng thông tin sinh trắc học thiết bị (Điều 10), FIDO (Điều 11), xác thực hai kênh, chữ ký số.</t>
  </si>
  <si>
    <t>제7조의 6가지 인증방식 적용: OTP(제8조), 생체정보 일치(제9조), 기기 저장 생체 일치(제10조), FIDO(제11조), 이중채널 인증, 전자서명.</t>
  </si>
  <si>
    <t>Hiện tại các kênh giao dịch đều cần verify qua OTP/ Smart OTP để đăng nhập thành công rồi cho phép đặt lệnh</t>
  </si>
  <si>
    <r>
      <t xml:space="preserve">Điều khoản chuyển tiếp — Điều 31.
</t>
    </r>
    <r>
      <rPr>
        <sz val="9"/>
        <color rgb="FFFF0000"/>
        <rFont val="Aptos Narrow"/>
        <family val="2"/>
      </rPr>
      <t>-&gt; Thực hiện sau khi có hiệu lực</t>
    </r>
  </si>
  <si>
    <t xml:space="preserve">Đáp ứng các yêu cầu về xác thực bằng mã khóa dùng 1 lần OTP (Điều 8) 
Về SMS OTP, Voice OTP, Email OTP, Thẻ ma trận OTP, Soft OTP và Token OTP
</t>
  </si>
  <si>
    <t>OTP 유효시간 준수: SMS 5분, Voice 3분, Email 5분, 매트릭스 카드 2분, Soft OTP 2분, Token OTP 2분(제8조).</t>
  </si>
  <si>
    <r>
      <t xml:space="preserve">Chi tiết điều 8
1. SMS OTP phải đáp ứng các yêu cầu sau:
a) OTP gửi tới khách hàng phải kèm thông tin thông báo để khách hàng nhận biết được mục đích của OTP; 
b) OTP có hiệu lực tối đa 05 phút kể từ thời điểm được hệ thống tạo.
</t>
    </r>
    <r>
      <rPr>
        <sz val="9"/>
        <color rgb="FFFF0000"/>
        <rFont val="Aptos Narrow"/>
        <family val="2"/>
      </rPr>
      <t>-&gt; Rà soát lại toàn bộ các SMS OTP về thông tin gửi (hiện tại gửi đang không gửi kèm mục đích sử dụng), Rà soát lại thời gian hiệu lực của SMS OTP</t>
    </r>
    <r>
      <rPr>
        <sz val="9"/>
        <rFont val="Aptos Narrow"/>
        <family val="2"/>
      </rPr>
      <t xml:space="preserve">
2. Voice OTP phải đáp ứng các yêu cầu sau: 
a) OTP gửi tới khách hàng phải kèm thông tin thông báo để khách hàng nhận biết được mục đích của OTP; 
b) OTP có hiệu lực tối đa 03 phút kể từ thời điểm cuộc gọi được hệ thống thiết lập thành công.
</t>
    </r>
    <r>
      <rPr>
        <sz val="9"/>
        <color rgb="FFFF0000"/>
        <rFont val="Aptos Narrow"/>
        <family val="2"/>
      </rPr>
      <t xml:space="preserve">-&gt; NHSV hiện không áp dụng hình thức này </t>
    </r>
    <r>
      <rPr>
        <sz val="9"/>
        <rFont val="Aptos Narrow"/>
        <family val="2"/>
      </rPr>
      <t xml:space="preserve">
3. Email OTP phải đáp ứng các yêu cầu sau: 
a) OTP gửi tới khách hàng phải kèm thông tin thông báo để khách hàng nhận biết được mục đích của OTP; 
b) OTP có hiệu lực tối đa 05 phút kể từ thời điểm được hệ thống tạo.
</t>
    </r>
    <r>
      <rPr>
        <sz val="9"/>
        <color rgb="FFFF0000"/>
        <rFont val="Aptos Narrow"/>
        <family val="2"/>
      </rPr>
      <t xml:space="preserve">-&gt; NHSV hiện không áp dụng hình thức này </t>
    </r>
    <r>
      <rPr>
        <sz val="9"/>
        <rFont val="Aptos Narrow"/>
        <family val="2"/>
      </rPr>
      <t xml:space="preserve">
4. Thẻ ma trận OTP phải đáp ứng các yêu cầu sau: 
a) Thẻ ma trận OTP có thời hạn sử dụng tối đa 01 năm kể từ ngày đăng ký thẻ;
b) Yêu cầu xác thực OTP có hiệu lực tối đa 02 phút kể từ thời điểm được hệ thống tạo.
</t>
    </r>
    <r>
      <rPr>
        <sz val="9"/>
        <color rgb="FFFF0000"/>
        <rFont val="Aptos Narrow"/>
        <family val="2"/>
      </rPr>
      <t xml:space="preserve">-&gt; Thẻ ma trận OTP của NHSV hiện không đáp ứng về thời hạn sử dụng. Phải sửa đổi thời gian về tối đa 1 năm từ ngày đăng kí thẻ. Nghiên cứu triển khai cùng CS 
Rà soát về hiệu lực 2P để nhập OTP. Hiện không chặn
</t>
    </r>
    <r>
      <rPr>
        <sz val="9"/>
        <rFont val="Aptos Narrow"/>
        <family val="2"/>
      </rPr>
      <t xml:space="preserve">5. Soft OTP phải đáp ứng các yêu cầu sau: 
a) Trường hợp phần mềm Soft OTP độc lập với phần mềm ứng dụng Mobile App, phải được tổ chức cung cấp dịch vụ đăng ký, quản lý phần mềm tại kho ứng dụng chính thức của hãng cung cấp hệ điều hành cho thiết bị di động và hướng dẫn cài đặt trên trang thông tin điện tử của tổ chức cung cấp dịch vụ; 
b) Phần mềm phải có chức năng xác thực khách hàng khi sử dụng lần đầu hoặc khi sử dụng trên thiết bị khác với thiết bị sử dụng lần gần nhất. Việc xác thực khách hàng phải bảo đảm khớp đúng SMS OTP hoặc Voice OTP thông qua số điện thoại di động đã được khách hàng đăng ký với tổ chức cung cấp dịch vụ và khớp đúng thông tin sinh trắc học của khách hàng theo một trong các loại thông tin sinh trắc học quy định tại khoản 12 Điều 3 Thông tư này;
c) Phần mềm Soft OTP phải yêu cầu kích hoạt trước khi sử dụng. Mã kích hoạt sử dụng Soft OTP do tổ chức cung cấp dịch vụ cung cấp cho khách hàng và chỉ được sử dụng để kích hoạt trên một thiết bị di động. Mã kích hoạt phải được thiết lập thời hạn hiệu lực sử dụng;
d) Phần mềm Soft OTP phải có chức năng kiểm soát truy cập. Trường hợp truy cập sai liên tiếp quá số lần do tổ chức cung cấp dịch vụ quy định (nhưng không quá 10 lần), phần mềm Soft OTP phải tự động khóa không cho khách hàng sử dụng tiếp. Tổ chức cung cấp dịch vụ chỉ mở khóa phần mềm Soft OTP khi khách hàng yêu cầu và phải kiểm tra, nhận biết khách hàng trước khi thực hiện mở khóa, bảo đảm chống gian lận, giả mạo;
đ) Mã OTP có hiệu lực tối đa 02 phút kể từ thời điểm được hệ thống tạo.
</t>
    </r>
    <r>
      <rPr>
        <sz val="9"/>
        <color rgb="FFFF0000"/>
        <rFont val="Aptos Narrow"/>
        <family val="2"/>
      </rPr>
      <t>-&gt; Soft OTP của NHSV hiện đã đáp ứng về thời gian hiệu lực không quá 2P. 
Cần rà soát Khi KH kích hoạt Smart OTP lần đầu, theo quy định phải phải yêu cầu khớp đúg SMS OTP qua số điện thoại đã đăng kí và khớp đúng thông tin sinh trắng học của KH theo ảnh khuôn mặt/vân tay/mống mắt/ADN/giọng nói. 
NHSV đã yêu cầu KH phải kích hoạt Smart OTP trước khi sử dụng nhưng mã kích hoạt chỉ được sử dụng trên 1 thiết bị và hiệu lực sử dụng cần rà soát lại 
Phần mềm Soft OTP phải có chức năng kiểm soát truy cập. 
Rà soát trường hợp truy cập sai liên tiếp quá số lần do tổ chức cung cấp dịch vụ quy định (nhưng không quá 10 lần), phần mềm Soft OTP phải tự động khóa không cho khách hàng sử dụng tiếp. Tổ chức cung cấp dịch vụ chỉ mở khóa phần mềm Soft OTP khi khách hàng yêu cầu và phải kiểm tra, nhận biết khách hàng trước khi thực hiện mở khóa, bảo đảm chống gian lận, giả mạo;</t>
    </r>
    <r>
      <rPr>
        <sz val="9"/>
        <rFont val="Aptos Narrow"/>
        <family val="2"/>
      </rPr>
      <t xml:space="preserve">
6. Token OTP: OTP có hiệu lực tối đa 02 phút kể từ thời điểm được hệ thống tạo. 
</t>
    </r>
    <r>
      <rPr>
        <sz val="9"/>
        <color rgb="FFFF0000"/>
        <rFont val="Aptos Narrow"/>
        <family val="2"/>
      </rPr>
      <t>-&gt; Token OTP NHSV hiện tại không áp dụng</t>
    </r>
  </si>
  <si>
    <r>
      <t xml:space="preserve">Sinh trắc học khuôn mặt đạt chuẩn FIDO Biometric Requirement: </t>
    </r>
    <r>
      <rPr>
        <sz val="10"/>
        <color rgb="FFFF0000"/>
        <rFont val="Aptos Narrow"/>
        <family val="2"/>
      </rPr>
      <t>FRR &lt; 5%, FAR &lt; 0,01% (tập mẫu ≥ 10.000); có phát hiện tấn công giả mạo vật thể sống (PAD) (khoản 1 Điều 9).</t>
    </r>
  </si>
  <si>
    <r>
      <t>Trường hợp sử dụng các hình thức khớp đúng thông tin sinh trắc học k</t>
    </r>
    <r>
      <rPr>
        <sz val="9"/>
        <color rgb="FFFF0000"/>
        <rFont val="Aptos Narrow"/>
        <family val="2"/>
      </rPr>
      <t>hác cần đảm bảo khả năng phát hiện, ngăn chặn hành vi gian lận, giả mạo tương đương
-&gt; IT cần check lại xem hình thức sinh trắc học qua Ekyc của NHSV đã đáp ứng hay chưa và chuẩn bị áp dụng sinh trắc học khi rút tiền phù hợp</t>
    </r>
  </si>
  <si>
    <t>Nghiên cứu trao đổi với VNPT về đối chiếu thông tin Face ID có kết nối với Bộ Công An hay không, đã bao gồm trong gói ID Check NHSV đang chuẩn bị đưa vào sử dụng không</t>
  </si>
  <si>
    <t>Giải pháp PAD do tổ chức tự triển khai hoặc dùng của bên thứ ba phải được chứng nhận bởi Liên minh FIDO hoặc tổ chức quốc tế có tiêu chuẩn tương đương/cao hơn (khoản 3 Điều 9).
(K4) Khóa chức năng khi sai quá số lần quy định (≤10 lần), chỉ mở khi KH yêu cầu &amp; nhận biết KH. 
(K5) Thời gian khớp đúng thông tin sinh trắc học kể từ thời điểm hệ thống ghi nhận yêu cầu xác thực của KH là tối đa 03 phút.
 (K6): Đối chiếu khớp đúng thông tin STH của KH với 1 trong các dữ liệu:
a) Dữ liệu sinh trắc học được lưu trong bộ phận lưu trữ thông tin được mã hóa của thẻ CCCD hoặc thẻ CC   đã được xác thực chính xác là do cơ quan Công an cấp hoặc thông qua xác thực tài khoản định danh điện tử của người đó do Hệ thống định danh và xác thực điện tử tạo lập; 
b) Dữ liệu sinh trắc học đã được thu thập và kiểm tra; bảo đảm sự khớp đúng giữa dữ liệu sinh trắc học của người đó với dữ liệu sinh trắc học trong bộ phận lưu trữ thông tin được mã hóa của thẻ CCCD hoặc thẻ CC   đã được xác thực chính xác là do cơ quan Công an cấp, hoặc với dữ liệu sinh trắc học của người đó thông qua xác thực tài khoản định danh điện tử do Hệ thống định danh và xác thực điện tử tạo lập; 
c) Dữ liệu sinh trắc học của người đó được lưu trong Cơ sở dữ liệu quốc gia về dân cư trong trường hợp sử dụng thẻ CCCD không có bộ phận lưu trữ thông tin được mã hóa.</t>
  </si>
  <si>
    <t>PAD 솔루션은 자체 구축 또는 제3자 사용 시 FIDO Alliance 또는 동등·상위 기준 국제기관의 인증 필요(제9조 제3항).</t>
  </si>
  <si>
    <t xml:space="preserve">Check xem đối tác đã đáp ứng chứng nhận bới liên minh FIDO và giải pháp NHSV sắp áp dụng đã đáp ứng các yêu cầu hay chưa
</t>
  </si>
  <si>
    <r>
      <t xml:space="preserve">Xác thực khớp đúng thông tin sinh trắc học thiết bị phải đáp ứng các yêu cầu sau:
</t>
    </r>
    <r>
      <rPr>
        <sz val="10"/>
        <color rgb="FFFF0000"/>
        <rFont val="Aptos Narrow"/>
        <family val="2"/>
      </rPr>
      <t>1. Chỉ cho phép kích hoạt sử dụng sau khi có sự đồng ý của khách hàng và khách hàng đã thực hiện ít nhất một giao dịch thành công bằng hình thức xác thực khác.</t>
    </r>
    <r>
      <rPr>
        <sz val="10"/>
        <rFont val="Aptos Narrow"/>
        <family val="2"/>
      </rPr>
      <t xml:space="preserve">
2. Thời gian thực hiện khớp đúng thông tin sinh trắc học tối đa 02 phút kể từ thời điểm thiết bị bắt đầu thực hiện việc xác thực.</t>
    </r>
  </si>
  <si>
    <t>기기 생체 정보 일치 인증 시 다음 요구 사항을 충족할 것:
고객의 동의 및 다른 인증 수단을 통한 최소 1회 이상의 성공적인 거래 실적이 있는 경우에 한하여 활성화 및 사용을 허용함.
생체 정보 일치 확인 시간은 기기가 인증을 개시한 시점부터 최대 2분 이내로 제한함.</t>
  </si>
  <si>
    <r>
      <t>NHSV Pro yêu cầu khách hàng phải đăng nhập bằng Password &amp; Xác thực OTP trước khi cho phép kích hoạt phương thức đăng nhập bằng biometric</t>
    </r>
    <r>
      <rPr>
        <sz val="9"/>
        <color rgb="FFFF0000"/>
        <rFont val="Aptos Narrow"/>
        <family val="2"/>
      </rPr>
      <t xml:space="preserve"> </t>
    </r>
    <r>
      <rPr>
        <sz val="9"/>
        <rFont val="Aptos Narrow"/>
        <family val="2"/>
      </rPr>
      <t>-&gt; IT đang áp dụng hình thức đặt lệnh xác thực qua Smart OTP, IT dự kiến không áp dụng sinh trắc học thiết bị. Nếu sau này áp dụng đặt lệnh qua sinh trắc học thiết bị thì cần phải tuân thủ</t>
    </r>
  </si>
  <si>
    <t>Xác thực FIDO phải đáp ứng các yêu cầu sau:
1. Khóa bí mật được lưu giữ an toàn trên thiết bị của khách hàng. Khách hàng sử dụng hình thức xác thực bằng mã PIN hoặc khớp đúng thông tin sinh trắc học thiết bị để truy cập, sử dụng khóa bí mật khi thực hiện giao dịch.
2. Khóa công khai được lưu trữ an toàn tại tổ chức cung cấp dịch vụ và được liên kết với tài khoản giao dịch trực tuyến của khách hàng.
3. Giải pháp do tổ chức cung cấp dịch vụ tự triển khai hoặc sử dụng của bên thứ ba cung cấp phải được cấp chứng nhận của tổ chức được Liên minh FIDO (FIDO Alliance) công nhận.</t>
  </si>
  <si>
    <t>FIDO 인증 시 다음 요구 사항을 충족할 것:
개인키(Private Key)는 고객 기기에 안전하게 보관되어야 함. 고객은 거래 수행 시 개인키에 접근 및 이를 사용하기 위해 PIN 번호 인증 또는 기기 생체 정보 일치 인증 수단을 사용함.
공개키(Public Key)는 서비스 제공기관에 안전하게 저장되고, 고객의 전자금융거래 계좌와 연계되어야 함.
서비스 제공기관이 자체 구축하거나 제3자가 제공하는 솔루션은 FIDO 얼라이언스(FIDO Alliance)가 공인한 기관으로부터 인증을 획득한 것일 것.</t>
  </si>
  <si>
    <r>
      <t xml:space="preserve">Quy trình mở TKCK có yêu cầu xác thực sinh trắc học (Liveness detect &amp; xác thực chân dung chủ giấy tờ) </t>
    </r>
    <r>
      <rPr>
        <sz val="9"/>
        <color rgb="FFFF0000"/>
        <rFont val="Aptos Narrow"/>
        <family val="2"/>
      </rPr>
      <t>-&gt; Hiện tại khách hàng đang có thể đóng tài khoản tại quầy hoặc gửi hồ sơ về quầy và CS gọi điện xác nhận với KH. Đóng tài khoản như vậy cũng là chưa xác thực bằng sinh trắc học. Nếu cho KH tổ chức mở tài khoản ekyc cũng cần sinh trắc học khuôn mặt và cân nhắc mở tính năng đóng tài khoản online</t>
    </r>
  </si>
  <si>
    <t>Nếu cho KH tổ chức mở tài khoản ekyc cũng cần sinh trắc học khuôn mặt và cân nhắc mở tính năng đóng tài khoản online</t>
  </si>
  <si>
    <r>
      <t xml:space="preserve">Giao dịch chứng khoán trực tuyến: áp dụng xác thực khớp đúng sinh trắc học (Điều 9); xác thực ít nhất với giao dịch đầu tiên mỗi phiên đăng nhập; </t>
    </r>
    <r>
      <rPr>
        <sz val="10"/>
        <color rgb="FFFF0000"/>
        <rFont val="Aptos Narrow"/>
        <family val="2"/>
      </rPr>
      <t>xác thực &amp; giao dịch trên cùng một thiết bị (</t>
    </r>
    <r>
      <rPr>
        <sz val="10"/>
        <rFont val="Aptos Narrow"/>
        <family val="2"/>
      </rPr>
      <t>khoản 2 Điều 12).</t>
    </r>
  </si>
  <si>
    <t xml:space="preserve">Cần hành động </t>
  </si>
  <si>
    <t>Cần phải xây dựng tính năng quản lý thiết bị</t>
  </si>
  <si>
    <r>
      <t xml:space="preserve">Khoản 3 Điều 12: đặt lệnh qua điện thoại — giao dịch chỉ được thực hiện khi thông tin KH cung cấp trùng khớp với thông tin đã đăng ký và lưu trong hệ thống GDTT. </t>
    </r>
    <r>
      <rPr>
        <sz val="9"/>
        <color rgb="FFFF0000"/>
        <rFont val="Aptos Narrow"/>
        <family val="2"/>
      </rPr>
      <t>Tính đến hiện tại mình có đáp ứng, tuy nhiên CS đã gửi yêu cầu cho BA về việc đồng bộ được SĐT đăng ký của KH + thông tin khách hàng được hiển thị (khi KH dùng đúng SĐT đăng ký liên hệ đến NHSV)</t>
    </r>
  </si>
  <si>
    <r>
      <t xml:space="preserve">Khoản 5 Điều 12: với giao dịch không thuộc các khoản trên (1-4) điều 12, tổ chức phân loại &amp; đánh giá mức độ rủi ro để thỏa thuận với KH hình thức xác thực phù hợp, áp dụng theo một trong các hình thức tại Điều 7.
</t>
    </r>
    <r>
      <rPr>
        <sz val="9"/>
        <color rgb="FFFF0000"/>
        <rFont val="Aptos Narrow"/>
        <family val="2"/>
      </rPr>
      <t>-&gt; Dưới 10tr rút tiền chưa có yêu cầu OTP và trên 10tr chưa sinh trắc học</t>
    </r>
  </si>
  <si>
    <r>
      <t>Tương tự NĐT trong nước</t>
    </r>
    <r>
      <rPr>
        <sz val="9"/>
        <color rgb="FFFF0000"/>
        <rFont val="Aptos Narrow"/>
        <family val="2"/>
      </rPr>
      <t xml:space="preserve"> -&gt; Ms Ngân cung cấp thông tin việc Hiện tại mình đang không cung cấp DV cho khách hàng NN không cư trú (Tuy nhiên trong quá trình MTK mình đã có danh sách AML để xử lý trên BOS) nhưng đây là điều khoản về NĐT nước ngoài cư trú tại VN</t>
    </r>
  </si>
  <si>
    <r>
      <t xml:space="preserve">Điều 13: (K3) Không áp dụng điểm a,b K8 Đ5; Đ9; điểm b K1 Đ12; K4 Đ12 — dùng xác nhận điện tử thể hiện sự chấp thuận, kiểm tra hợp pháp/hợp lệ &amp; nhận biết KH theo PCRT. (K4) Nhận lệnh qua hệ thống truyền lệnh trung gian: kênh truyền riêng, giao thức FIX hoặc tương đương, có quy trình tiếp nhận-kiểm tra-xử lý lệnh.
</t>
    </r>
    <r>
      <rPr>
        <sz val="9"/>
        <color rgb="FFFF0000"/>
        <rFont val="Aptos Narrow"/>
        <family val="2"/>
      </rPr>
      <t xml:space="preserve">-&gt; Phòng ban phụ trách chưa có đánh giá </t>
    </r>
  </si>
  <si>
    <t>MỤC 2 · 제2절</t>
  </si>
  <si>
    <t>Cần check tuân thủ các yêu cầu của pháp luật về API và tuân thủ toàn bộ</t>
  </si>
  <si>
    <t>Comp, Legal, Mr Hoang, Mr Duc</t>
  </si>
  <si>
    <t>Check lại điều khoản hd với đối tác.</t>
  </si>
  <si>
    <t>Có hợp đồng triển khai API với bên thứ ba (khoản 5 Điều 14).</t>
  </si>
  <si>
    <t>제3자와 API 도입 계약 체결(제14조 제5항).</t>
  </si>
  <si>
    <r>
      <t xml:space="preserve">Nội dung HĐ (khoản 5): a) Cam kết an toàn-bảo mật &amp; bảo vệ dữ liệu KH; b) Cam kết dùng dữ liệu đúng phạm vi-mục đích &amp; chịu trách nhiệm khi rò rỉ/sai lệch/sai mục đích; c) Thông tin dịch vụ qua API; d) Phí dịch vụ (nếu có); đ) Cấp độ ANM hệ thống bên thứ ba; e) Quyền truy cập dữ liệu các bên; g) Thông báo khi nhân sự vi phạm; h) Trách nhiệm bồi thường &amp; cung cấp thông tin; i) Điều khoản chấm dứt HĐ. -&gt; </t>
    </r>
    <r>
      <rPr>
        <sz val="9"/>
        <color rgb="FFFF0000"/>
        <rFont val="Aptos Narrow"/>
        <family val="2"/>
      </rPr>
      <t xml:space="preserve">Hiện tại NHSV có đang cung cấp API cho đối tác Stag? Đã có hợp đồng hay chưa và HĐ này cần được review lại để đảm bảo các nội dung theo yêu cầu của thông tư </t>
    </r>
  </si>
  <si>
    <t>Lập &amp; lưu giữ hồ sơ kỹ thuật và hồ sơ phối hợp triển khai API tại hai bên (khoản 6 Điều 14).</t>
  </si>
  <si>
    <t>API 기술문서 및 협력 도입 문서를 양측에서 작성·보관(제14조 제6항).</t>
  </si>
  <si>
    <r>
      <t>Hồ sơ (khoản 6): a) Mô hình triển khai từng bên (sơ đồ luồng dữ liệu, phân vùng bảo mật, điểm kết nối API); b) Thông số kỹ thuật chi tiết (giao thức, điểm cuối, phiên bản, luồng dữ liệu, phương thức xác thực); c) Cơ chế xác thực &amp; phân quyền người dùng; d) Cơ chế quản lý-kiểm soát-giới hạn tần suất truy cập; đ) Hồ sơ biện pháp bảo vệ ANM; e) Tài liệu khác liên quan (nếu có).</t>
    </r>
    <r>
      <rPr>
        <sz val="9"/>
        <color rgb="FFFF0000"/>
        <rFont val="Aptos Narrow"/>
        <family val="2"/>
      </rPr>
      <t xml:space="preserve"> -&gt; Đã có hồ sơ này với đối tác đang kết nối API (Stag) hay chưa? Hồ sơ có đầy đủ thông tin theo yêu cầu thông tư không? Lưu trữ ở đâu</t>
    </r>
  </si>
  <si>
    <t>Tài liệu hướng dẫn kết nối và xử lý dữ liệu chưa ban hành</t>
  </si>
  <si>
    <t>Bảo đảm chất lượng dữ liệu; thông báo kịp thời cho bên thứ ba khi sai lệch &amp; phối hợp đính chính. Bảo đảm an ninh mạng cho hệ thống API tối thiểu bằng cấp độ hệ thống GDTT (khoản 3, 4 Điều 15).</t>
  </si>
  <si>
    <t>데이터 품질 보장; 오류 시 제3자에 즉시 통지·정정 협력. API 시스템 사이버보안을 온라인거래 시스템 등급 이상으로 보장(제15조 제3·4항).</t>
  </si>
  <si>
    <t>Đã pentest API thành công khi test Level 3 ATTT</t>
  </si>
  <si>
    <t>Cân nhắc thêm phương án xử lý</t>
  </si>
  <si>
    <t>Thiết lập thời hạn truy vấn thông tin KH sau khi được đồng ý không quá 180 ngày kể từ thời điểm hệ thống ghi nhận sự đồng ý, trừ trường hợp có thỏa thuận khác với KH (khoản 6 Điều 15).</t>
  </si>
  <si>
    <t>고객 동의 후 정보 조회 기한을 시스템의 동의 기록 시점부터 180일 이내로 설정(고객과 별도 합의 시 제외)(제15조 제6항).</t>
  </si>
  <si>
    <t>Điều khoản thỏa thuận với KH để KH đồng ý chia sẻ cho đến khi đóng tài khoản trừ TH rút lại sự đồng ý theo các phương thức khác (T&amp;C về bảo vệ dữ liệu cá nhân đã có)</t>
  </si>
  <si>
    <t>Câần áp dụng phương thưc kiểm soát (hiện chưa có)</t>
  </si>
  <si>
    <t>Chưa công khai thông tin về hệ thống thử nghiệm trên trang Web NHSV</t>
  </si>
  <si>
    <t xml:space="preserve">Câần có ban hành quy định liên quan để chứng minh việc thực hiện. Khi thực hiện theo quy định cần lưu lại bằng chứng (Tham khảo Bank) </t>
  </si>
  <si>
    <t>Cần có giải pháp thu hồi khi cần, tính năng mở đóng và quy định về vấn đề này. Trong hd hai bên cũng phải quy định vấn đề này</t>
  </si>
  <si>
    <t>Đã có lưu log khi đối tác sử dụng API nhưng chỉ lưu trong 1 tháng. Cần check lại xem có yêu cầu lưu log trong bao lâu không. Cần rate limit trên từng API để ngăn chặn truy cập trái phép</t>
  </si>
  <si>
    <t xml:space="preserve">Lồng ghép vào phần công bố thông tin trên web </t>
  </si>
  <si>
    <t>Điều khoản chuyển tiếp — Điều 31. -&gt; Phải lập danh sách nộp UBCK. Có mẫu báo báo cáo</t>
  </si>
  <si>
    <t>MỤC 3 · 제3절</t>
  </si>
  <si>
    <t>Trực tiếp quản lý vận hành nghĩa là vận hành và quản lý phải do nhân sự trực tiếp kí hợp đồng với NHSV -&gt; Checklist ra đầu mục công việc theo quản lý và vận hành hệ thống là những công việc gì do nhân sự nào thực hiện và các nhân sự này có hợp đồng ld chưa, ld parttime cũng được công nhận, nhân sự có chứng chỉ phù hợp hay chưa (Có thể tham khảo các tiêu chí ở mẫu báo cáo Phụ lục II của thông tư để biết quản lý và v ận hành hệ thống tối thiểu bao gồm những gì)</t>
  </si>
  <si>
    <t>Mr Van Main, Mr Choi</t>
  </si>
  <si>
    <t xml:space="preserve">Cần check lại </t>
  </si>
  <si>
    <t xml:space="preserve">CMC đang phụ trách kiểm tra đánh giá cho NHSV và CMC có chứng nhận đủ thẩm quyền đánh giá ANM. Trang web của NHSV và thư điện tử công ty (nhsv@nhsv.vn - sử dụng của Microsoft) đều có chứng thư SSL </t>
  </si>
  <si>
    <t>Bố trí khu vực hệ thống riêng biệt: khóa từ/thiết bị tương đương kiểm soát ra vào; ghi hình; PCCC chuyên dụng; điều hòa; theo dõi nhiệt độ, độ ẩm; lưu điện, máy phát điện dự phòng chuyên dụng; chống sét (Điều 16).</t>
  </si>
  <si>
    <t>전용 시스템 구역: 전자잠금/동등 출입통제; 영상기록; 전용 소방; 공조; 온·습도 감시; 무정전·전용 예비발전기; 피뢰(제16조).</t>
  </si>
  <si>
    <t>TH thuê chỗ đặt hệ thống GDTT: Data center phải tuân thủ pháp luật &amp; có giải pháp tránh truy cập, khai thác dữ liệu bất hợp pháp. -&gt; NHSV không thuê Data Center và các quy định về nơi đặt hệ thống gần đây 2 sở đã kiểm tra pass</t>
  </si>
  <si>
    <r>
      <t xml:space="preserve">Ban hành quy trình vận hành theo dõi quản trị hàng ngày, xử lý sự cố, sao lưu-dự phòng-khôi phục hệ thống &amp; dữ liệu, quy trình </t>
    </r>
    <r>
      <rPr>
        <sz val="10"/>
        <color rgb="FFFF0000"/>
        <rFont val="Aptos Narrow"/>
        <family val="2"/>
      </rPr>
      <t>kiểm soát rủi ro &amp; quy định bảo vệ dữ liệu cá nhân (Điều 16).</t>
    </r>
  </si>
  <si>
    <r>
      <t>Khoản 9-14 Điều 16: 
(K9) Xây dựng phương án đối phó, ứng cứu sự cố khẩn cấp về ANM cho hệ thống GDTT (OK)
(K10) Tách biệt môi trường vận hành với kiểm thử/phát triển (OK). 
K11) Dùng máy chủ trung gian/hệ thống quản trị tập trung có kiểm soát, không dùng trực tiếp máy tính nhân sự (OK) 
(K12) Bố trí nhân sự có bằng cấp/chứng chỉ CNTT phù hợp (OK nhưng OK trên giấy tờ, trên thực tế vẫn phải bổ sung) 
(K13) Định kỳ hằng năm đào tạo, diễn tập ANM (OK đã có kế hoạch trong hồ sơ level 3 nhưng trên thực tế chưa làm, đào tạo hằng năm có thể thực tế chưa đào tạo, diễn tập tự thực hiện vẫn OK)
(K14) Có phương án dự phòng &amp; phương thức giao dịch thay thế khi sự cố.</t>
    </r>
    <r>
      <rPr>
        <sz val="9"/>
        <color rgb="FFFF0000"/>
        <rFont val="Aptos Narrow"/>
        <family val="2"/>
      </rPr>
      <t xml:space="preserve"> -&gt; NHSV đã có quy trình QTRR giao dịch trực tuyến nhưng chưa có quy định về bảo vệ dữ liệu cá nhân </t>
    </r>
  </si>
  <si>
    <t>Máy chủ: có máy chủ dự phòng, tách biệt lô-gíc/vật lý; kiểm tra, tăng cường mức độ an toàn-bảo mật cho hệ điều hành; cập nhật bản vá thường xuyên; danh mục phần mềm được phép cài đặt trên máy chủ rà soát 06 tháng/lần (Điều 17).</t>
  </si>
  <si>
    <t>서버: 예비 서버·논리/물리 분리; OS 안전·보안 점검·강화; 정기 패치 업데이트; 서버 설치 허용 SW 목록 6개월마다 점검(제17조).</t>
  </si>
  <si>
    <t>Hiện tại đang thực hiện theo dự án ATTT Level 3</t>
  </si>
  <si>
    <t>Phần mềm ứng dụng trực tuyến: mã hóa điểm-đầu-đến-điểm-cuối dữ liệu truyền; bảo đảm tính toàn vẹn dữ liệu giao dịch (Điều 18).</t>
  </si>
  <si>
    <t>온라인 응용 소프트웨어: 전송 데이터 종단간 암호화; 거래 데이터 무결성 보장(제18조).</t>
  </si>
  <si>
    <t>Dùng giao thức HTTPS và chứng thư số SSL (App NHSV đảm bảo cơ chế này, có mua certificate của đối tác thứ 3, có mã hóa)</t>
  </si>
  <si>
    <t>https://webtrading.nhsv.vn/v4/auth/login</t>
  </si>
  <si>
    <r>
      <t xml:space="preserve">Nhật ký GD rút/chuyển tiền ra khỏi TKCK: Chưa lưu thông tin định danh thiết bị || 4. Nhật ký giao dịch chứng khoán gồm các thông tin sau: tên khách hàng, loại hình khách hàng, số tài khoản, thời gian nhận lệnh (ngày, giờ phút), mã chứng khoán, phương thức giao dịch, loại lệnh, số lượng và giá giao dịch, hình thức xác thực giao dịch, thời gian xác thực giao dịch, thông tin định danh thiết bị, địa chỉ IP mạng.
</t>
    </r>
    <r>
      <rPr>
        <sz val="9"/>
        <color rgb="FFFF0000"/>
        <rFont val="Aptos Narrow"/>
        <family val="2"/>
      </rPr>
      <t>5. Nhật ký giao dịch rút, chuyển tiền ra khỏi tài khoản giao dịch chứng khoán gồm các thông tin sau: tên khách hàng, số tài khoản, số tiền, tài khoản ngân hàng nhận tiền, thời gian giao dịch, hình thức xác thực giao dịch, thông tin định danh thiết bị, địa chỉ IP mạng. Mobile App cũng phải tuân thủ các quy định điều 1-3 tại điều 18 về quản lý phiên bản, các tính ngăng bắt buộc, có đủ các chức năng lưu trữ thông tin
1#Nhật ký GD chứng khoán: Đối với KH giao dịch qua WTS trên điện thoại hoặc thiết bị dùng hệ điều hành MacOS và mở WTS trên trình duyệt khác SAFARI: Đang chưa lấy được thông tin định danh thiết bị.
2#Nhật ký GD rút/chuyển tiền ra khỏi TKCK: Chưa lưu thông tin định danh thiết bị</t>
    </r>
  </si>
  <si>
    <t>Mobile App: đăng ký kho ứng dụng chính thức; cài trên thiết bị sử dụng SĐT KH đã đăng ký; giải pháp phòng, chống, phát hiện hành vi can thiệp trái phép vào ứng dụng GDTT trên thiết bị di động của KH; không cho phép lưu mã PIN/mã khóa bí mật; xác thực khi đăng nhập lần đầu hoặc đăng nhập trên thiết bị mới (Điều 18).</t>
  </si>
  <si>
    <t>모바일앱: 공식 앱스토어 등록; 등록 번호 기기 설치; 기기 내 거래앱 무단 변조 방지·탐지 솔루션; PIN 미저장; 새 기기 로그인 시 인증(제18조).</t>
  </si>
  <si>
    <t>NHSV chưa có giải pháp để xác minh đc là SDT đã cài đặt trên đúng thiết bị mà NHSV đã lưu thông tin đăng kí, khi đăng nhập trên thiết bị mới cũng chưa có (VD bắt buộc App phải lưu được thông tin IMEI khi KH đăng nhập lần đầu và khi có thay đổi phải yêu cầu KH xác thực lại thay thiết bị). 
NHSV chưa có giải pháp để phòng, chống, phát hiện hành vi can thiệp trái phép vào ứng dụng GDTT trên thiết bị di động của KH</t>
  </si>
  <si>
    <t>Hệ quản trị CSDL có bản quyền, bảo vệ &amp; phân quyền truy cập, cập nhật bản vá; ghi nhật ký truy cập và thao tác khi truy cập CSDL (Điều 18).</t>
  </si>
  <si>
    <t>DBMS 정품·보호·접근권한 분리·패치; DB 접근 및 작업 로그 기록(제18조).</t>
  </si>
  <si>
    <t>Đang thực hiện theo dự án ATTT Level 3</t>
  </si>
  <si>
    <t>Mạng: tường lửa phân vùng; không lưu thông tin KH ở phân vùng internet/DMZ; hạn chế dịch vụ/cổng kết nối không sử dụng hoặc không cần thiết (Điều 19).</t>
  </si>
  <si>
    <t>네트워크: 구간 방화벽; 인터넷/DMZ 구역에 고객정보 미저장; 불필요 서비스·포트 제한(제19조).</t>
  </si>
  <si>
    <t xml:space="preserve">Đã pass qua các lần kiểm tra của Sở </t>
  </si>
  <si>
    <r>
      <t xml:space="preserve">Kết nối từ bên ngoài mạng nội bộ vào hệ thống giao dịch trực tuyến để quản trị chỉ được thực hiện trong trường hợp không thể kết nối từ mạng nội bộ và phải tuân thủ các quy định : </t>
    </r>
    <r>
      <rPr>
        <sz val="10"/>
        <color rgb="FFFF0000"/>
        <rFont val="Aptos Narrow"/>
        <family val="2"/>
      </rPr>
      <t>được cấp có thẩm quyền phê duyệt;</t>
    </r>
    <r>
      <rPr>
        <sz val="10"/>
        <rFont val="Aptos Narrow"/>
        <family val="2"/>
      </rPr>
      <t xml:space="preserve"> dùng VPN/tương đương; thiết bị kết nối được cài đặt phần mềm bảo đảm an toàn, bảo mật; tối thiểu 02 yếu tố xác thực; giao thức mã hóa (Điều 19).</t>
    </r>
  </si>
  <si>
    <t>원격 관리 접속: 승인 필요; VPN/동등 사용; 연결 기기에 보안 SW 설치; 최소 2요소 인증; 암호화 프로토콜(제19조).</t>
  </si>
  <si>
    <t>Hiện tại việc phê duyệt VPN được thực hiện đơn sơ qua email nhưng chưa có văn bản nào lưu trữ. Chưa có quy định đối chiếu để thực hiện -&gt; Cần ban hành quy trình nội bộ về việc quản lý truy cập vào hệ thống giao dịch trực tuyến</t>
  </si>
  <si>
    <t>Đặt lệnh qua điện thoại: công ty chứng khoán phải trang bị hệ thống tổng đài có ghi âm, quản lý, lưu trữ, tra cứu; đường truyền có dự phòng, sẵn sàng cao, bảo đảm khả năng cung cấp dịch vụ liên tục (Điều 19).</t>
  </si>
  <si>
    <t>전화 주문: 녹음·관리·보관·조회 가능한 콜센터; 예비·고가용 회선으로 서비스 연속성 보장(제19조).</t>
  </si>
  <si>
    <t>Mọi cuộc gọi phải được ghi âm, lưu trữ đầy đủ. Sau này có thể tham khảo thực hiện call center để nâng cao chức năng quản lý cuộc gọi</t>
  </si>
  <si>
    <t>Định kỳ sao lưu dự phòng: tập tin cấu hình hệ thống; bản dự phòng hệ điều hành máy chủ, hệ quản trị CSDL; dữ liệu, thông tin liên quan đến giao dịch của khách hàng (khoản 1 Điều 20).</t>
  </si>
  <si>
    <t>정기 백업: 시스템 구성 파일; 서버 OS·DBMS 예비본; 고객 거래 관련 데이터·정보(제20조 제1항).</t>
  </si>
  <si>
    <t>Việc lưu trữ dữ liệu phải bảo đảm tính an toàn, bảo mật, đầy đủ và toàn vẹn của dữ liệu phục vụ cho công tác kiểm tra, đối chiếu, xác thực khách hàng trong quá trình sử dụng dịch vụ và cung cấp thông tin khi có yêu cầu của cơ quan có thẩm quyền -&gt; Hiện tại NHSV sao lưu hằng ngày</t>
  </si>
  <si>
    <t>Dđang thực hiện theo ATTT Level 3 nhưng quy định về kiểm tra khả năng khôi phục và lưu trữ biên bản cần bổ sung vào văn bản nội bộ liên quan đến sao lưu dự phòng</t>
  </si>
  <si>
    <t>Chưa có giải pháp mã hóa trên thiết bị lưu trữ (giờ chỉ đang lưu trữ, chưa mã hóa dữ liệu)</t>
  </si>
  <si>
    <t>Sao lưu hằng ngày đối với dữ liệu giao dịch, dữ liệu khách hàng; định kỳ 01 tháng/lần đối với dữ liệu, cấu hình hệ thống GDTT &amp; cấu hình thiết bị an toàn bảo mật (khoản 6 Điều 20).</t>
  </si>
  <si>
    <t>거래·고객 데이터 일일 백업; 온라인거래 시스템 데이터·구성 및 보안장비 구성 월 1회 백업(제20조 제6항).</t>
  </si>
  <si>
    <t>Phải lưu trữ bảo quản đầy đủ thông tin sinh trắc học của KH (_&gt; tận dụng để để xác thực nhiều lần cho KH cũ, KH mới thì mới so khớp với Bộ Công An)</t>
  </si>
  <si>
    <t>Công ty quản lý quỹ, đại lý phân phối CCQ: tuân thủ khoản 1,3,5,8,9,10,11,14 Điều 16; Điều 17; khoản 1, điểm a,b,c,d khoản 2, khoản 6,7 Điều 18; Điều 19; Điều 20. Ngân hàng lưu ký/giám sát, đại lý ký danh/chuyển nhượng &amp; tổ chức liên quan trang bị hạ tầng phù hợp (Điều 21).</t>
  </si>
  <si>
    <t>자산운용사·펀드 판매대리점: 제16조 1,3,5,8,9,10,11,14항; 제17조; 제18조 1항·2항 a~d호·6·7항; 제19조; 제20조 준수. 수탁·감독은행, 명의대리·양도대리 및 관련 기관은 적합한 인프라 구비(제21조).</t>
  </si>
  <si>
    <t>Do NHSV chưa triển khai phân phối CCQ Online nhưng khi triển khai Phân phối CCQ Online thì cần tuân thủ toàn bộ quy định về hạ tầng như giao dịch chứng khoán</t>
  </si>
  <si>
    <t xml:space="preserve">Chưa có giải pháp mã hóa database và thông tin nhạy cảm của KH
Về phân quyền truy cập đúng chức năng &amp; giám sát mỗi lần truy cập: Đang thực hiện giải pháp Data Firewall do SNET cung cấp để phân quyền và giám sát khi truy cập Database nhưng chưa có quy trình quy định nội bộ liên quan đến quản lý truy cập
Thông báo KH &amp; báo cáo UBCKNN khi lộ, lọt dữ liệu  -&gt; Cần đưa vào quy trình liên quan </t>
  </si>
  <si>
    <r>
      <t>Báo cáo năm về hoạt động cung cấp dịch vụ trực tuyến kèm báo cáo về việc kiểm tra</t>
    </r>
    <r>
      <rPr>
        <sz val="10"/>
        <color rgb="FFFF0000"/>
        <rFont val="Aptos Narrow"/>
        <family val="2"/>
      </rPr>
      <t>, đánh giá an ninh mạng định kỳ: chậm nhất ngày 31 tháng 01 năm tiếp theo (Điều 25).</t>
    </r>
  </si>
  <si>
    <t>Mẫu phụ lục II -&gt; NHSV chưa có đánh giá an ninh mạng định kì, cần phải chọn đơn vị đánh giá được cấp phép còn báo cáo năm về hd gdtt thì vẫn đang nộp hằng năm</t>
  </si>
  <si>
    <t>Báo cáo kèm tài liệu liên quan khi nâng cấp, thay đổi hệ thống GDTT (thay đổi core hệ thống, người quản lý hệ thống, địa điểm đặt hệ thống, địa chỉ website/tên phần mềm): 07 ngày làm việc sau khi CTCK thực hiện thay đổi (Điều 25).</t>
  </si>
  <si>
    <t>온라인거래 시스템 업그레이드·변경(코어, 시스템 관리자, 설치 장소, 웹주소/SW명 변경) 시 관련 문서 첨부 보고: 변경 후 7영업일 이내(제25조).</t>
  </si>
  <si>
    <t>Hiện vẫn báo cáo đủ</t>
  </si>
  <si>
    <t>NHSV hiện đang cung API cho đối tác Stag nhưng chưa báo cáo (Hiện hành quy định theo 134 vẫn là NHSV đang vi phạm do ko cung cấp dịch vụ trực tiếp cho KH)</t>
  </si>
  <si>
    <t>Báo cáo trong thời hạn 24 giờ kể từ khi xảy ra các sự cố nghiêm trọng. Trường hợp sự cố nghiêm trọng về ANM vượt ngoài khả năng xử lý: kịp thời báo cáo cơ quan chuyên trách theo pháp luật về an ninh mạng (Điều 25).</t>
  </si>
  <si>
    <t>중대사고 발생 시 24시간 이내 보고. 처리 능력을 초과하는 중대 사이버보안 사고: 사이버보안 법령에 따라 전담기관에 즉시 보고(제25조).</t>
  </si>
  <si>
    <t xml:space="preserve">Hiện chưa xảy ra trường hợp nào </t>
  </si>
  <si>
    <t>Đại lý phân phối CCQ: báo cáo UBCKNN tối thiểu 05 ngày làm việc trước ngày triển khai hệ thống GDTT cho khách hàng; báo cáo năm về hoạt động cung cấp dịch vụ trực tuyến chậm nhất ngày 31 tháng 01 năm tiếp theo (Điều 25).</t>
  </si>
  <si>
    <t>펀드 판매대리점: 고객 대상 온라인거래 시스템 시행 최소 5영업일 전 UBCKNN 보고; 온라인 서비스 연간보고서 익년 1월 31일까지(제25조).</t>
  </si>
  <si>
    <t>Hiện NHSV cho KH Mở tài khoản Trực tuyến (stag) để giao dịch CCQ và hình thức này đã báo cáo SSC. Sau này có thể cần báo cáo thê khi triển khai core giao dịch CCQ Trực tuyến -&gt; Sẽ đánh giá lại sau</t>
  </si>
  <si>
    <r>
      <t xml:space="preserve">Các rủi ro (khoản 1 Điều 26): a) Lệnh có thể bị treo/ngừng/trì hoãn/lỗi dữ liệu khi truyền qua internet; b) Nhận dạng tổ chức/KH có thể không chính xác, lỗi bảo mật; c) Giá thị trường &amp; thông tin CK khác có thể lỗi/sai lệch; d) Rủi ro của các phương thức xác thực đặt lệnh; đ) Rủi ro khác mà cơ quan quản lý/tổ chức cung cấp dịch vụ thấy cần công bố
Đã có trên Web site nhsv.vn Cong_bo_rui_ro_GD_truc_tuyen.pdf
</t>
    </r>
    <r>
      <rPr>
        <sz val="9"/>
        <color rgb="FFFF0000"/>
        <rFont val="Aptos Narrow"/>
        <family val="2"/>
      </rPr>
      <t xml:space="preserve">Tuy nhiên trên phần mềm chưa thấy có bản công bố này, đề nghị đưa bản công bố này trên tất cả các ứng dụng trading Online (HTS, WTS,MTS (NHSV Pro) </t>
    </r>
  </si>
  <si>
    <t>Nội dung công khai (khoản 2 Điều 26): a) Tên dịch vụ &amp; mô tả chức năng; b) Phạm vi dữ liệu được truy cập; c) Thông tin về hình thức xác thực &amp; bảo mật; d) Danh sách các bên thứ ba được phép truy cập hợp pháp (nếu có); đ) Các nội dung khác liên quan đến dịch vụ API đang triển khai (nếu có). Khi nghị định ban hành và có hiệu lực sẽ phải tổng hợp báo cáo Ủy ban và công bố lên Website</t>
  </si>
  <si>
    <t>번호</t>
  </si>
  <si>
    <t>해당 절</t>
  </si>
  <si>
    <t>처리 대상 항목 — 요건</t>
  </si>
  <si>
    <t>참조 조항</t>
  </si>
  <si>
    <t>제1절 (일반규정)</t>
  </si>
  <si>
    <t>제5조</t>
  </si>
  <si>
    <t>제5조 (계속)</t>
  </si>
  <si>
    <t>제7~9조</t>
  </si>
  <si>
    <t>제12~13조</t>
  </si>
  <si>
    <t>제2절 (API)</t>
  </si>
  <si>
    <t>제14조</t>
  </si>
  <si>
    <t>제15조</t>
  </si>
  <si>
    <t>제15조 (계속)</t>
  </si>
  <si>
    <t>제31조</t>
  </si>
  <si>
    <t>제3절 (인프라)</t>
  </si>
  <si>
    <t>제16~17조</t>
  </si>
  <si>
    <t>제18조</t>
  </si>
  <si>
    <t>제19조</t>
  </si>
  <si>
    <t>제20~22조</t>
  </si>
  <si>
    <t>제25조</t>
  </si>
  <si>
    <t>제26조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</si>
</sst>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3" x14ac:knownFonts="1">
    <font>
      <sz val="11"/>
      <color theme="1"/>
      <name val="Calibri"/>
      <family val="2"/>
      <scheme val="minor"/>
    </font>
    <font>
      <b/>
      <sz val="13"/>
      <name val="Aptos Narrow"/>
      <family val="2"/>
    </font>
    <font>
      <b/>
      <sz val="10"/>
      <name val="Aptos Narrow"/>
      <family val="2"/>
    </font>
    <font>
      <sz val="11"/>
      <color rgb="FFFF0000"/>
      <name val="Calibri"/>
      <family val="2"/>
      <scheme val="minor"/>
    </font>
    <font>
      <sz val="11"/>
      <color theme="1"/>
      <name val="Aptos Narrow"/>
      <family val="2"/>
    </font>
    <font>
      <sz val="10"/>
      <name val="Aptos Narrow"/>
      <family val="2"/>
    </font>
    <font>
      <sz val="9"/>
      <name val="Aptos Narrow"/>
      <family val="2"/>
    </font>
    <font>
      <b/>
      <sz val="9"/>
      <name val="Aptos Narrow"/>
      <family val="2"/>
    </font>
    <font>
      <sz val="9"/>
      <color rgb="FFFF0000"/>
      <name val="Aptos Narrow"/>
      <family val="2"/>
    </font>
    <font>
      <sz val="10"/>
      <color rgb="FFFF0000"/>
      <name val="Aptos Narrow"/>
      <family val="2"/>
    </font>
    <font>
      <b/>
      <sz val="9"/>
      <color rgb="FFFF0000"/>
      <name val="Aptos Narrow"/>
      <family val="2"/>
    </font>
    <font>
      <sz val="11"/>
      <color rgb="FFFF0000"/>
      <name val="Aptos Narrow"/>
      <family val="2"/>
    </font>
    <font>
      <sz val="10"/>
      <color theme="1"/>
      <name val="Aptos Narrow"/>
      <family val="2"/>
    </font>
    <font>
      <sz val="9"/>
      <color theme="1"/>
      <name val="Aptos Narrow"/>
      <family val="2"/>
    </font>
    <font>
      <b/>
      <sz val="9"/>
      <color theme="1"/>
      <name val="Aptos Narrow"/>
      <family val="2"/>
    </font>
    <font>
      <u/>
      <sz val="11"/>
      <color theme="10"/>
      <name val="Calibri"/>
      <family val="2"/>
      <scheme val="minor"/>
    </font>
    <font>
      <sz val="11"/>
      <name val="Calibri"/>
      <family val="2"/>
      <scheme val="minor"/>
    </font>
    <font>
      <b/>
      <sz val="30"/>
      <color rgb="FF1F3864"/>
      <name val="Aptos Narrow"/>
      <family val="2"/>
    </font>
    <font>
      <b/>
      <sz val="30"/>
      <color rgb="FF375623"/>
      <name val="Aptos Narrow"/>
      <family val="2"/>
    </font>
    <font>
      <b/>
      <sz val="30"/>
      <color rgb="FF806000"/>
      <name val="Aptos Narrow"/>
      <family val="2"/>
    </font>
    <font>
      <b/>
      <sz val="30"/>
      <color rgb="FF843C0C"/>
      <name val="Aptos Narrow"/>
      <family val="2"/>
    </font>
    <font>
      <b/>
      <sz val="10"/>
      <color rgb="FF1F3864"/>
      <name val="Aptos Narrow"/>
      <family val="2"/>
    </font>
    <font>
      <b/>
      <sz val="10"/>
      <color rgb="FF375623"/>
      <name val="Aptos Narrow"/>
      <family val="2"/>
    </font>
    <font>
      <b/>
      <sz val="10"/>
      <color rgb="FF806000"/>
      <name val="Aptos Narrow"/>
      <family val="2"/>
    </font>
    <font>
      <b/>
      <sz val="10"/>
      <color rgb="FF843C0C"/>
      <name val="Aptos Narrow"/>
      <family val="2"/>
    </font>
    <font>
      <b/>
      <sz val="10"/>
      <color rgb="FFC00000"/>
      <name val="Aptos Narrow"/>
      <family val="2"/>
    </font>
    <font>
      <b/>
      <sz val="10"/>
      <color theme="1"/>
      <name val="Aptos Narrow"/>
      <family val="2"/>
    </font>
    <font>
      <sz val="10"/>
      <color rgb="FF000000"/>
      <name val="Aptos Narrow"/>
      <family val="2"/>
    </font>
    <font>
      <b/>
      <sz val="15"/>
      <name val="Aptos Narrow"/>
      <family val="2"/>
    </font>
    <font>
      <b/>
      <sz val="10"/>
      <color rgb="FFFF0000"/>
      <name val="Aptos Narrow"/>
      <family val="2"/>
    </font>
    <font>
      <b/>
      <sz val="12"/>
      <color rgb="FFFF0000"/>
      <name val="Aptos Narrow"/>
      <family val="2"/>
    </font>
    <font>
      <b/>
      <sz val="11"/>
      <name val="Aptos Narrow"/>
      <family val="2"/>
    </font>
    <font>
      <b/>
      <sz val="11"/>
      <color theme="1"/>
      <name val="Aptos Narrow"/>
      <family val="2"/>
    </font>
  </fonts>
  <fills count="12">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CE4E4"/>
        <bgColor indexed="64"/>
      </patternFill>
    </fill>
    <fill>
      <patternFill patternType="solid">
        <fgColor rgb="FFE3EEF9"/>
        <bgColor indexed="64"/>
      </patternFill>
    </fill>
    <fill>
      <patternFill patternType="solid">
        <fgColor rgb="FFD9E1F2"/>
        <bgColor indexed="64"/>
      </patternFill>
    </fill>
    <fill>
      <patternFill patternType="solid">
        <fgColor rgb="FFE2EFDA"/>
        <bgColor indexed="64"/>
      </patternFill>
    </fill>
    <fill>
      <patternFill patternType="solid">
        <fgColor rgb="FFFFF2CC"/>
        <bgColor indexed="64"/>
      </patternFill>
    </fill>
    <fill>
      <patternFill patternType="solid">
        <fgColor rgb="FFFCE4D6"/>
        <bgColor indexed="64"/>
      </patternFill>
    </fill>
    <fill>
      <patternFill patternType="solid">
        <fgColor rgb="FFF2F2F2"/>
        <bgColor indexed="64"/>
      </patternFill>
    </fill>
    <fill>
      <patternFill patternType="solid">
        <fgColor theme="3" tint="0.79998168889431442"/>
        <bgColor indexed="64"/>
      </patternFill>
    </fill>
  </fills>
  <borders count="18">
    <border>
      <left/>
      <right/>
      <top/>
      <bottom/>
      <diagonal/>
    </border>
    <border>
      <left style="thin">
        <color rgb="FFBFC9D2"/>
      </left>
      <right style="thin">
        <color rgb="FFBFC9D2"/>
      </right>
      <top style="thin">
        <color rgb="FFBFC9D2"/>
      </top>
      <bottom style="thin">
        <color rgb="FFBFC9D2"/>
      </bottom>
      <diagonal/>
    </border>
    <border>
      <left style="thin">
        <color rgb="FFBFC9D2"/>
      </left>
      <right style="thin">
        <color rgb="FFBFC9D2"/>
      </right>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theme="2"/>
      </left>
      <right style="thin">
        <color theme="2"/>
      </right>
      <top style="thin">
        <color theme="2"/>
      </top>
      <bottom style="thin">
        <color theme="2"/>
      </bottom>
      <diagonal/>
    </border>
    <border>
      <left style="medium">
        <color theme="2"/>
      </left>
      <right style="thin">
        <color theme="2"/>
      </right>
      <top style="thin">
        <color theme="2"/>
      </top>
      <bottom style="thin">
        <color theme="2"/>
      </bottom>
      <diagonal/>
    </border>
    <border>
      <left style="thin">
        <color theme="2"/>
      </left>
      <right style="medium">
        <color theme="2"/>
      </right>
      <top style="thin">
        <color theme="2"/>
      </top>
      <bottom style="thin">
        <color theme="2"/>
      </bottom>
      <diagonal/>
    </border>
    <border>
      <left style="medium">
        <color theme="2"/>
      </left>
      <right style="thin">
        <color theme="2"/>
      </right>
      <top style="thin">
        <color theme="2"/>
      </top>
      <bottom style="medium">
        <color theme="2"/>
      </bottom>
      <diagonal/>
    </border>
    <border>
      <left style="thin">
        <color theme="2"/>
      </left>
      <right style="thin">
        <color theme="2"/>
      </right>
      <top style="thin">
        <color theme="2"/>
      </top>
      <bottom style="medium">
        <color theme="2"/>
      </bottom>
      <diagonal/>
    </border>
    <border>
      <left style="thin">
        <color theme="2"/>
      </left>
      <right style="medium">
        <color theme="2"/>
      </right>
      <top style="thin">
        <color theme="2"/>
      </top>
      <bottom style="medium">
        <color theme="2"/>
      </bottom>
      <diagonal/>
    </border>
    <border>
      <left style="medium">
        <color theme="2"/>
      </left>
      <right style="thin">
        <color theme="2"/>
      </right>
      <top/>
      <bottom style="thin">
        <color theme="2"/>
      </bottom>
      <diagonal/>
    </border>
    <border>
      <left style="thin">
        <color theme="2"/>
      </left>
      <right style="thin">
        <color theme="2"/>
      </right>
      <top/>
      <bottom style="thin">
        <color theme="2"/>
      </bottom>
      <diagonal/>
    </border>
    <border>
      <left style="thin">
        <color theme="2"/>
      </left>
      <right style="medium">
        <color theme="2"/>
      </right>
      <top/>
      <bottom style="thin">
        <color theme="2"/>
      </bottom>
      <diagonal/>
    </border>
    <border>
      <left style="medium">
        <color theme="2"/>
      </left>
      <right style="thin">
        <color theme="2"/>
      </right>
      <top style="medium">
        <color theme="2"/>
      </top>
      <bottom style="thin">
        <color indexed="64"/>
      </bottom>
      <diagonal/>
    </border>
    <border>
      <left style="thin">
        <color theme="2"/>
      </left>
      <right style="thin">
        <color theme="2"/>
      </right>
      <top style="medium">
        <color theme="2"/>
      </top>
      <bottom style="thin">
        <color indexed="64"/>
      </bottom>
      <diagonal/>
    </border>
    <border>
      <left style="thin">
        <color theme="2"/>
      </left>
      <right style="medium">
        <color theme="2"/>
      </right>
      <top style="medium">
        <color theme="2"/>
      </top>
      <bottom style="thin">
        <color indexed="64"/>
      </bottom>
      <diagonal/>
    </border>
  </borders>
  <cellStyleXfs count="2">
    <xf numFmtId="0" fontId="0" fillId="0" borderId="0"/>
    <xf numFmtId="0" fontId="15" fillId="0" borderId="0" applyNumberFormat="0" applyFill="0" applyBorder="0" applyAlignment="0" applyProtection="0"/>
  </cellStyleXfs>
  <cellXfs count="105">
    <xf numFmtId="0" fontId="0" fillId="0" borderId="0" xfId="0"/>
    <xf numFmtId="0" fontId="0" fillId="3" borderId="0" xfId="0" applyFill="1"/>
    <xf numFmtId="0" fontId="3" fillId="3" borderId="0" xfId="0" applyFont="1" applyFill="1"/>
    <xf numFmtId="0" fontId="5" fillId="3" borderId="1" xfId="0" applyFont="1" applyFill="1" applyBorder="1" applyAlignment="1">
      <alignment horizontal="center" vertical="center" wrapText="1"/>
    </xf>
    <xf numFmtId="0" fontId="6" fillId="3" borderId="1" xfId="0" applyFont="1" applyFill="1" applyBorder="1" applyAlignment="1">
      <alignment horizontal="left" vertical="center" wrapText="1"/>
    </xf>
    <xf numFmtId="0" fontId="5" fillId="3" borderId="1" xfId="0" applyFont="1" applyFill="1" applyBorder="1" applyAlignment="1">
      <alignment horizontal="left" vertical="top" wrapText="1"/>
    </xf>
    <xf numFmtId="0" fontId="7" fillId="3" borderId="1" xfId="0" applyFont="1" applyFill="1" applyBorder="1" applyAlignment="1">
      <alignment horizontal="center" vertical="center" wrapText="1"/>
    </xf>
    <xf numFmtId="0" fontId="6" fillId="3" borderId="1" xfId="0" applyFont="1" applyFill="1" applyBorder="1" applyAlignment="1">
      <alignment horizontal="left" vertical="top" wrapText="1"/>
    </xf>
    <xf numFmtId="0" fontId="9" fillId="3" borderId="1" xfId="0" applyFont="1" applyFill="1" applyBorder="1" applyAlignment="1">
      <alignment horizontal="center" vertical="center" wrapText="1"/>
    </xf>
    <xf numFmtId="0" fontId="8" fillId="3" borderId="1" xfId="0" applyFont="1" applyFill="1" applyBorder="1" applyAlignment="1">
      <alignment horizontal="left" vertical="center" wrapText="1"/>
    </xf>
    <xf numFmtId="0" fontId="9" fillId="3" borderId="1" xfId="0" applyFont="1" applyFill="1" applyBorder="1" applyAlignment="1">
      <alignment horizontal="left" vertical="top" wrapText="1"/>
    </xf>
    <xf numFmtId="0" fontId="10" fillId="3" borderId="1" xfId="0" applyFont="1" applyFill="1" applyBorder="1" applyAlignment="1">
      <alignment horizontal="center" vertical="center" wrapText="1"/>
    </xf>
    <xf numFmtId="0" fontId="8" fillId="3" borderId="1" xfId="0" applyFont="1" applyFill="1" applyBorder="1" applyAlignment="1">
      <alignment horizontal="left" vertical="top" wrapText="1"/>
    </xf>
    <xf numFmtId="0" fontId="4" fillId="3" borderId="0" xfId="0" applyFont="1" applyFill="1" applyAlignment="1">
      <alignment vertical="center" wrapText="1"/>
    </xf>
    <xf numFmtId="0" fontId="11" fillId="3" borderId="0" xfId="0" applyFont="1" applyFill="1" applyAlignment="1">
      <alignment vertical="center" wrapText="1"/>
    </xf>
    <xf numFmtId="0" fontId="0" fillId="0" borderId="0" xfId="0" applyAlignment="1">
      <alignment vertical="center" wrapText="1"/>
    </xf>
    <xf numFmtId="0" fontId="12" fillId="3" borderId="1" xfId="0" applyFont="1" applyFill="1" applyBorder="1" applyAlignment="1">
      <alignment horizontal="center" vertical="center" wrapText="1"/>
    </xf>
    <xf numFmtId="0" fontId="13" fillId="3" borderId="1" xfId="0" applyFont="1" applyFill="1" applyBorder="1" applyAlignment="1">
      <alignment horizontal="left" vertical="center" wrapText="1"/>
    </xf>
    <xf numFmtId="0" fontId="12" fillId="3" borderId="1" xfId="0" applyFont="1" applyFill="1" applyBorder="1" applyAlignment="1">
      <alignment horizontal="left" vertical="top" wrapText="1"/>
    </xf>
    <xf numFmtId="0" fontId="14" fillId="3" borderId="1" xfId="0" applyFont="1" applyFill="1" applyBorder="1" applyAlignment="1">
      <alignment horizontal="center" vertical="center" wrapText="1"/>
    </xf>
    <xf numFmtId="0" fontId="13" fillId="3" borderId="1" xfId="0" applyFont="1" applyFill="1" applyBorder="1" applyAlignment="1">
      <alignment horizontal="left" vertical="top" wrapText="1"/>
    </xf>
    <xf numFmtId="0" fontId="15" fillId="3" borderId="0" xfId="1" applyFill="1" applyAlignment="1">
      <alignment vertical="center" wrapText="1"/>
    </xf>
    <xf numFmtId="0" fontId="2" fillId="2" borderId="1" xfId="0" applyFont="1" applyFill="1" applyBorder="1" applyAlignment="1">
      <alignment horizontal="center" vertical="center" wrapText="1"/>
    </xf>
    <xf numFmtId="0" fontId="4" fillId="0" borderId="0" xfId="0" applyFont="1"/>
    <xf numFmtId="0" fontId="4" fillId="0" borderId="0" xfId="0" applyFont="1" applyAlignment="1">
      <alignment vertical="center"/>
    </xf>
    <xf numFmtId="1" fontId="12" fillId="0" borderId="4" xfId="0" applyNumberFormat="1" applyFont="1" applyBorder="1" applyAlignment="1">
      <alignment horizontal="center" vertical="center"/>
    </xf>
    <xf numFmtId="164" fontId="12" fillId="0" borderId="4" xfId="0" applyNumberFormat="1" applyFont="1" applyBorder="1" applyAlignment="1">
      <alignment horizontal="center" vertical="center"/>
    </xf>
    <xf numFmtId="0" fontId="26" fillId="10" borderId="4" xfId="0" applyFont="1" applyFill="1" applyBorder="1" applyAlignment="1">
      <alignment horizontal="center" vertical="center"/>
    </xf>
    <xf numFmtId="1" fontId="12" fillId="10" borderId="4" xfId="0" applyNumberFormat="1" applyFont="1" applyFill="1" applyBorder="1" applyAlignment="1">
      <alignment horizontal="center" vertical="center"/>
    </xf>
    <xf numFmtId="1" fontId="26" fillId="10" borderId="4" xfId="0" applyNumberFormat="1" applyFont="1" applyFill="1" applyBorder="1" applyAlignment="1">
      <alignment horizontal="center" vertical="center"/>
    </xf>
    <xf numFmtId="164" fontId="12" fillId="10" borderId="4" xfId="0" applyNumberFormat="1" applyFont="1" applyFill="1" applyBorder="1" applyAlignment="1">
      <alignment horizontal="center" vertical="center"/>
    </xf>
    <xf numFmtId="0" fontId="26" fillId="0" borderId="4" xfId="0" applyFont="1" applyBorder="1" applyAlignment="1">
      <alignment horizontal="center" vertical="center"/>
    </xf>
    <xf numFmtId="1" fontId="26" fillId="0" borderId="4" xfId="0" applyNumberFormat="1" applyFont="1" applyBorder="1" applyAlignment="1">
      <alignment horizontal="center" vertical="center"/>
    </xf>
    <xf numFmtId="1" fontId="13" fillId="0" borderId="4" xfId="0" applyNumberFormat="1" applyFont="1" applyBorder="1" applyAlignment="1">
      <alignment horizontal="center" vertical="center"/>
    </xf>
    <xf numFmtId="1" fontId="12" fillId="3" borderId="4" xfId="0" applyNumberFormat="1" applyFont="1" applyFill="1" applyBorder="1" applyAlignment="1">
      <alignment horizontal="center" vertical="center"/>
    </xf>
    <xf numFmtId="164" fontId="12" fillId="3" borderId="4" xfId="0" applyNumberFormat="1" applyFont="1" applyFill="1" applyBorder="1" applyAlignment="1">
      <alignment horizontal="center" vertical="center"/>
    </xf>
    <xf numFmtId="1" fontId="26" fillId="3" borderId="4" xfId="0" applyNumberFormat="1" applyFont="1" applyFill="1" applyBorder="1" applyAlignment="1">
      <alignment horizontal="center" vertical="center"/>
    </xf>
    <xf numFmtId="164" fontId="26" fillId="3" borderId="4" xfId="0" applyNumberFormat="1" applyFont="1" applyFill="1" applyBorder="1" applyAlignment="1">
      <alignment horizontal="center" vertical="center"/>
    </xf>
    <xf numFmtId="0" fontId="14" fillId="0" borderId="4" xfId="0" applyFont="1" applyBorder="1" applyAlignment="1">
      <alignment vertical="center"/>
    </xf>
    <xf numFmtId="0" fontId="0" fillId="0" borderId="0" xfId="0" applyAlignment="1">
      <alignment horizontal="center" vertical="center"/>
    </xf>
    <xf numFmtId="0" fontId="16" fillId="0" borderId="0" xfId="0" applyFont="1"/>
    <xf numFmtId="0" fontId="7" fillId="4" borderId="6" xfId="0" applyFont="1" applyFill="1" applyBorder="1" applyAlignment="1">
      <alignment horizontal="center" vertical="top" wrapText="1"/>
    </xf>
    <xf numFmtId="0" fontId="6" fillId="0" borderId="6" xfId="0" applyFont="1" applyBorder="1" applyAlignment="1">
      <alignment horizontal="left" vertical="top" wrapText="1"/>
    </xf>
    <xf numFmtId="0" fontId="7" fillId="5" borderId="6" xfId="0" applyFont="1" applyFill="1" applyBorder="1" applyAlignment="1">
      <alignment horizontal="center" vertical="top" wrapText="1"/>
    </xf>
    <xf numFmtId="0" fontId="6" fillId="0" borderId="6" xfId="0" applyFont="1" applyBorder="1" applyAlignment="1">
      <alignment horizontal="center" vertical="top" wrapText="1"/>
    </xf>
    <xf numFmtId="0" fontId="6" fillId="3" borderId="6" xfId="0" applyFont="1" applyFill="1" applyBorder="1" applyAlignment="1">
      <alignment horizontal="center" vertical="top" wrapText="1"/>
    </xf>
    <xf numFmtId="0" fontId="7" fillId="4" borderId="10" xfId="0" applyFont="1" applyFill="1" applyBorder="1" applyAlignment="1">
      <alignment horizontal="center" vertical="top" wrapText="1"/>
    </xf>
    <xf numFmtId="0" fontId="6" fillId="0" borderId="10" xfId="0" applyFont="1" applyBorder="1" applyAlignment="1">
      <alignment horizontal="left" vertical="top" wrapText="1"/>
    </xf>
    <xf numFmtId="0" fontId="2" fillId="2" borderId="12"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2" fillId="2" borderId="14" xfId="0" applyFont="1" applyFill="1" applyBorder="1" applyAlignment="1">
      <alignment horizontal="center" vertical="center" wrapText="1"/>
    </xf>
    <xf numFmtId="0" fontId="26" fillId="3" borderId="4" xfId="0" applyFont="1" applyFill="1" applyBorder="1" applyAlignment="1">
      <alignment horizontal="center" vertical="center"/>
    </xf>
    <xf numFmtId="0" fontId="26" fillId="11" borderId="4" xfId="0" applyFont="1" applyFill="1" applyBorder="1" applyAlignment="1">
      <alignment horizontal="center" vertical="center" wrapText="1"/>
    </xf>
    <xf numFmtId="0" fontId="14" fillId="11" borderId="4" xfId="0" applyFont="1" applyFill="1" applyBorder="1" applyAlignment="1">
      <alignment horizontal="center" vertical="center" wrapText="1"/>
    </xf>
    <xf numFmtId="0" fontId="14" fillId="11" borderId="4" xfId="0" applyFont="1" applyFill="1" applyBorder="1" applyAlignment="1">
      <alignment horizontal="left" vertical="center"/>
    </xf>
    <xf numFmtId="0" fontId="14" fillId="11" borderId="4" xfId="0" applyFont="1" applyFill="1" applyBorder="1" applyAlignment="1">
      <alignment horizontal="center" vertical="center"/>
    </xf>
    <xf numFmtId="0" fontId="6" fillId="0" borderId="7" xfId="0" applyFont="1" applyBorder="1" applyAlignment="1">
      <alignment horizontal="center" vertical="top" wrapText="1"/>
    </xf>
    <xf numFmtId="0" fontId="6" fillId="0" borderId="6" xfId="0" applyFont="1" applyBorder="1" applyAlignment="1">
      <alignment horizontal="center" vertical="center" wrapText="1"/>
    </xf>
    <xf numFmtId="0" fontId="6" fillId="0" borderId="8" xfId="0" applyFont="1" applyBorder="1" applyAlignment="1">
      <alignment horizontal="center" vertical="top" wrapText="1"/>
    </xf>
    <xf numFmtId="0" fontId="6" fillId="0" borderId="9" xfId="0" applyFont="1" applyBorder="1" applyAlignment="1">
      <alignment horizontal="center" vertical="top" wrapText="1"/>
    </xf>
    <xf numFmtId="0" fontId="6" fillId="0" borderId="10" xfId="0" applyFont="1" applyBorder="1" applyAlignment="1">
      <alignment horizontal="center" vertical="center" wrapText="1"/>
    </xf>
    <xf numFmtId="0" fontId="6" fillId="0" borderId="10" xfId="0" applyFont="1" applyBorder="1" applyAlignment="1">
      <alignment horizontal="center" vertical="top" wrapText="1"/>
    </xf>
    <xf numFmtId="0" fontId="6" fillId="3" borderId="10" xfId="0" applyFont="1" applyFill="1" applyBorder="1" applyAlignment="1">
      <alignment horizontal="center" vertical="top" wrapText="1"/>
    </xf>
    <xf numFmtId="0" fontId="6" fillId="0" borderId="11" xfId="0" applyFont="1" applyBorder="1" applyAlignment="1">
      <alignment horizontal="center" vertical="top" wrapText="1"/>
    </xf>
    <xf numFmtId="0" fontId="2" fillId="2" borderId="2" xfId="0" applyFont="1" applyFill="1" applyBorder="1" applyAlignment="1">
      <alignment horizontal="center" vertical="center" wrapText="1"/>
    </xf>
    <xf numFmtId="0" fontId="27" fillId="0" borderId="0" xfId="0" applyFont="1" applyAlignment="1">
      <alignment horizontal="left" vertical="center" wrapText="1"/>
    </xf>
    <xf numFmtId="0" fontId="9" fillId="0" borderId="0" xfId="0" applyFont="1" applyAlignment="1">
      <alignment horizontal="left" vertical="center" wrapText="1"/>
    </xf>
    <xf numFmtId="0" fontId="4" fillId="3" borderId="4" xfId="0" applyFont="1" applyFill="1" applyBorder="1" applyAlignment="1">
      <alignment vertical="center" wrapText="1"/>
    </xf>
    <xf numFmtId="0" fontId="32" fillId="3" borderId="0" xfId="0" applyFont="1" applyFill="1" applyAlignment="1">
      <alignment horizontal="left" vertical="center"/>
    </xf>
    <xf numFmtId="0" fontId="32" fillId="3" borderId="0" xfId="0" applyFont="1" applyFill="1" applyAlignment="1">
      <alignment horizontal="left"/>
    </xf>
    <xf numFmtId="0" fontId="13" fillId="10" borderId="4" xfId="0" applyFont="1" applyFill="1" applyBorder="1" applyAlignment="1">
      <alignment vertical="center" wrapText="1"/>
    </xf>
    <xf numFmtId="0" fontId="31" fillId="3" borderId="0" xfId="0" applyFont="1" applyFill="1" applyAlignment="1">
      <alignment horizontal="left" vertical="center"/>
    </xf>
    <xf numFmtId="0" fontId="26" fillId="11" borderId="4" xfId="0" applyFont="1" applyFill="1" applyBorder="1" applyAlignment="1">
      <alignment horizontal="center" vertical="center"/>
    </xf>
    <xf numFmtId="0" fontId="26" fillId="3" borderId="4" xfId="0" applyFont="1" applyFill="1" applyBorder="1" applyAlignment="1">
      <alignment vertical="center" wrapText="1"/>
    </xf>
    <xf numFmtId="0" fontId="25" fillId="3" borderId="4" xfId="0" applyFont="1" applyFill="1" applyBorder="1" applyAlignment="1">
      <alignment vertical="center" wrapText="1"/>
    </xf>
    <xf numFmtId="0" fontId="14" fillId="11" borderId="3" xfId="0" applyFont="1" applyFill="1" applyBorder="1" applyAlignment="1">
      <alignment horizontal="left" vertical="center" wrapText="1"/>
    </xf>
    <xf numFmtId="0" fontId="14" fillId="11" borderId="5" xfId="0" applyFont="1" applyFill="1" applyBorder="1" applyAlignment="1">
      <alignment horizontal="left" vertical="center" wrapText="1"/>
    </xf>
    <xf numFmtId="0" fontId="13" fillId="0" borderId="4" xfId="0" applyFont="1" applyBorder="1" applyAlignment="1">
      <alignment vertical="center" wrapText="1"/>
    </xf>
    <xf numFmtId="0" fontId="29" fillId="6" borderId="4" xfId="0" applyFont="1" applyFill="1" applyBorder="1" applyAlignment="1">
      <alignment horizontal="center" vertical="center" wrapText="1"/>
    </xf>
    <xf numFmtId="0" fontId="29" fillId="6" borderId="3" xfId="0" applyFont="1" applyFill="1" applyBorder="1" applyAlignment="1">
      <alignment horizontal="center" vertical="center" wrapText="1"/>
    </xf>
    <xf numFmtId="164" fontId="30" fillId="7" borderId="4" xfId="0" applyNumberFormat="1" applyFont="1" applyFill="1" applyBorder="1" applyAlignment="1">
      <alignment horizontal="center" vertical="center" wrapText="1"/>
    </xf>
    <xf numFmtId="164" fontId="30" fillId="7" borderId="3" xfId="0" applyNumberFormat="1" applyFont="1" applyFill="1" applyBorder="1" applyAlignment="1">
      <alignment horizontal="center" vertical="center" wrapText="1"/>
    </xf>
    <xf numFmtId="164" fontId="30" fillId="8" borderId="4" xfId="0" applyNumberFormat="1" applyFont="1" applyFill="1" applyBorder="1" applyAlignment="1">
      <alignment horizontal="center" vertical="center" wrapText="1"/>
    </xf>
    <xf numFmtId="164" fontId="30" fillId="8" borderId="3" xfId="0" applyNumberFormat="1" applyFont="1" applyFill="1" applyBorder="1" applyAlignment="1">
      <alignment horizontal="center" vertical="center" wrapText="1"/>
    </xf>
    <xf numFmtId="164" fontId="30" fillId="9" borderId="4" xfId="0" applyNumberFormat="1" applyFont="1" applyFill="1" applyBorder="1" applyAlignment="1">
      <alignment horizontal="center" vertical="center" wrapText="1"/>
    </xf>
    <xf numFmtId="0" fontId="21" fillId="6" borderId="4" xfId="0" applyFont="1" applyFill="1" applyBorder="1" applyAlignment="1">
      <alignment horizontal="center" vertical="center" wrapText="1"/>
    </xf>
    <xf numFmtId="0" fontId="21" fillId="6" borderId="3" xfId="0" applyFont="1" applyFill="1" applyBorder="1" applyAlignment="1">
      <alignment horizontal="center" vertical="center" wrapText="1"/>
    </xf>
    <xf numFmtId="0" fontId="22" fillId="7" borderId="4" xfId="0" applyFont="1" applyFill="1" applyBorder="1" applyAlignment="1">
      <alignment horizontal="center" vertical="center" wrapText="1"/>
    </xf>
    <xf numFmtId="0" fontId="22" fillId="7" borderId="3" xfId="0" applyFont="1" applyFill="1" applyBorder="1" applyAlignment="1">
      <alignment horizontal="center" vertical="center" wrapText="1"/>
    </xf>
    <xf numFmtId="0" fontId="23" fillId="8" borderId="4" xfId="0" applyFont="1" applyFill="1" applyBorder="1" applyAlignment="1">
      <alignment horizontal="center" vertical="center" wrapText="1"/>
    </xf>
    <xf numFmtId="0" fontId="23" fillId="8" borderId="3" xfId="0" applyFont="1" applyFill="1" applyBorder="1" applyAlignment="1">
      <alignment horizontal="center" vertical="center" wrapText="1"/>
    </xf>
    <xf numFmtId="0" fontId="24" fillId="9" borderId="4" xfId="0" applyFont="1" applyFill="1" applyBorder="1" applyAlignment="1">
      <alignment horizontal="center" vertical="center" wrapText="1"/>
    </xf>
    <xf numFmtId="0" fontId="28" fillId="11" borderId="0" xfId="0" applyFont="1" applyFill="1" applyAlignment="1">
      <alignment horizontal="center" wrapText="1"/>
    </xf>
    <xf numFmtId="0" fontId="28" fillId="11" borderId="0" xfId="0" applyFont="1" applyFill="1" applyAlignment="1">
      <alignment horizontal="center"/>
    </xf>
    <xf numFmtId="1" fontId="17" fillId="6" borderId="4" xfId="0" applyNumberFormat="1" applyFont="1" applyFill="1" applyBorder="1" applyAlignment="1">
      <alignment horizontal="center" vertical="center" wrapText="1"/>
    </xf>
    <xf numFmtId="1" fontId="17" fillId="6" borderId="3" xfId="0" applyNumberFormat="1" applyFont="1" applyFill="1" applyBorder="1" applyAlignment="1">
      <alignment horizontal="center" vertical="center" wrapText="1"/>
    </xf>
    <xf numFmtId="1" fontId="18" fillId="7" borderId="4" xfId="0" applyNumberFormat="1" applyFont="1" applyFill="1" applyBorder="1" applyAlignment="1">
      <alignment horizontal="center" vertical="center" wrapText="1"/>
    </xf>
    <xf numFmtId="1" fontId="18" fillId="7" borderId="3" xfId="0" applyNumberFormat="1" applyFont="1" applyFill="1" applyBorder="1" applyAlignment="1">
      <alignment horizontal="center" vertical="center" wrapText="1"/>
    </xf>
    <xf numFmtId="1" fontId="19" fillId="8" borderId="4" xfId="0" applyNumberFormat="1" applyFont="1" applyFill="1" applyBorder="1" applyAlignment="1">
      <alignment horizontal="center" vertical="center" wrapText="1"/>
    </xf>
    <xf numFmtId="1" fontId="19" fillId="8" borderId="3" xfId="0" applyNumberFormat="1" applyFont="1" applyFill="1" applyBorder="1" applyAlignment="1">
      <alignment horizontal="center" vertical="center" wrapText="1"/>
    </xf>
    <xf numFmtId="1" fontId="20" fillId="9" borderId="4" xfId="0" applyNumberFormat="1" applyFont="1" applyFill="1" applyBorder="1" applyAlignment="1">
      <alignment horizontal="center" vertical="center" wrapText="1"/>
    </xf>
    <xf numFmtId="0" fontId="1" fillId="2" borderId="15" xfId="0" applyFont="1" applyFill="1" applyBorder="1" applyAlignment="1">
      <alignment horizontal="center" vertical="center"/>
    </xf>
    <xf numFmtId="0" fontId="1" fillId="2" borderId="16" xfId="0" applyFont="1" applyFill="1" applyBorder="1" applyAlignment="1">
      <alignment horizontal="center" vertical="center"/>
    </xf>
    <xf numFmtId="0" fontId="1" fillId="2" borderId="17" xfId="0" applyFont="1" applyFill="1" applyBorder="1" applyAlignment="1">
      <alignment horizontal="center" vertical="center"/>
    </xf>
    <xf numFmtId="0" fontId="1" fillId="2" borderId="0" xfId="0" applyFont="1" applyFill="1" applyAlignment="1">
      <alignment horizontal="center" vertic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Aptos Narrow" panose="020B0004020202020204" pitchFamily="34" charset="0"/>
                <a:ea typeface="+mn-ea"/>
                <a:cs typeface="+mn-cs"/>
              </a:defRPr>
            </a:pPr>
            <a:r>
              <a:rPr lang="en-US" sz="1100" b="1">
                <a:latin typeface="Aptos Narrow" panose="020B0004020202020204" pitchFamily="34" charset="0"/>
              </a:rPr>
              <a:t>Phân loại xử lý / </a:t>
            </a:r>
            <a:r>
              <a:rPr lang="ko-KR" sz="1100" b="1">
                <a:latin typeface="Aptos Narrow" panose="020B0004020202020204" pitchFamily="34" charset="0"/>
              </a:rPr>
              <a:t>처리 분류</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Aptos Narrow" panose="020B0004020202020204" pitchFamily="34" charset="0"/>
              <a:ea typeface="+mn-ea"/>
              <a:cs typeface="+mn-cs"/>
            </a:defRPr>
          </a:pPr>
          <a:endParaRPr lang="en-US"/>
        </a:p>
      </c:txPr>
    </c:title>
    <c:autoTitleDeleted val="0"/>
    <c:plotArea>
      <c:layout/>
      <c:doughnutChart>
        <c:varyColors val="1"/>
        <c:ser>
          <c:idx val="0"/>
          <c:order val="0"/>
          <c:dPt>
            <c:idx val="0"/>
            <c:bubble3D val="0"/>
            <c:spPr>
              <a:solidFill>
                <a:srgbClr val="548235"/>
              </a:solidFill>
              <a:ln w="19050">
                <a:solidFill>
                  <a:schemeClr val="lt1"/>
                </a:solidFill>
              </a:ln>
              <a:effectLst/>
            </c:spPr>
            <c:extLst>
              <c:ext xmlns:c16="http://schemas.microsoft.com/office/drawing/2014/chart" uri="{C3380CC4-5D6E-409C-BE32-E72D297353CC}">
                <c16:uniqueId val="{00000001-BB64-4026-B97F-8D6ACADCCFA6}"/>
              </c:ext>
            </c:extLst>
          </c:dPt>
          <c:dPt>
            <c:idx val="1"/>
            <c:bubble3D val="0"/>
            <c:spPr>
              <a:solidFill>
                <a:srgbClr val="BF8F00"/>
              </a:solidFill>
              <a:ln w="19050">
                <a:solidFill>
                  <a:schemeClr val="lt1"/>
                </a:solidFill>
              </a:ln>
              <a:effectLst/>
            </c:spPr>
            <c:extLst>
              <c:ext xmlns:c16="http://schemas.microsoft.com/office/drawing/2014/chart" uri="{C3380CC4-5D6E-409C-BE32-E72D297353CC}">
                <c16:uniqueId val="{00000002-BB64-4026-B97F-8D6ACADCCFA6}"/>
              </c:ext>
            </c:extLst>
          </c:dPt>
          <c:dPt>
            <c:idx val="2"/>
            <c:bubble3D val="0"/>
            <c:spPr>
              <a:solidFill>
                <a:srgbClr val="C00000"/>
              </a:solidFill>
              <a:ln w="19050">
                <a:solidFill>
                  <a:schemeClr val="lt1"/>
                </a:solidFill>
              </a:ln>
              <a:effectLst/>
            </c:spPr>
            <c:extLst>
              <c:ext xmlns:c16="http://schemas.microsoft.com/office/drawing/2014/chart" uri="{C3380CC4-5D6E-409C-BE32-E72D297353CC}">
                <c16:uniqueId val="{00000003-BB64-4026-B97F-8D6ACADCCFA6}"/>
              </c:ext>
            </c:extLst>
          </c:dPt>
          <c:dLbls>
            <c:dLbl>
              <c:idx val="0"/>
              <c:layout>
                <c:manualLayout>
                  <c:x val="0.10029498525073746"/>
                  <c:y val="-1.666666666666666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B64-4026-B97F-8D6ACADCCFA6}"/>
                </c:ext>
              </c:extLst>
            </c:dLbl>
            <c:dLbl>
              <c:idx val="1"/>
              <c:layout>
                <c:manualLayout>
                  <c:x val="0.11504424778761062"/>
                  <c:y val="2.9166666666666514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BB64-4026-B97F-8D6ACADCCFA6}"/>
                </c:ext>
              </c:extLst>
            </c:dLbl>
            <c:dLbl>
              <c:idx val="2"/>
              <c:layout>
                <c:manualLayout>
                  <c:x val="-9.7345132743362831E-2"/>
                  <c:y val="2.916666666666666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B64-4026-B97F-8D6ACADCCFA6}"/>
                </c:ext>
              </c:extLst>
            </c:dLbl>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Report!$B$28:$B$30</c:f>
              <c:strCache>
                <c:ptCount val="3"/>
                <c:pt idx="0">
                  <c:v>Tuân thủ (OK) / 완전준수</c:v>
                </c:pt>
                <c:pt idx="1">
                  <c:v>Cần rà soát / 재확인</c:v>
                </c:pt>
                <c:pt idx="2">
                  <c:v>Cần hành động / 조치</c:v>
                </c:pt>
              </c:strCache>
            </c:strRef>
          </c:cat>
          <c:val>
            <c:numRef>
              <c:f>Report!$C$28:$C$30</c:f>
              <c:numCache>
                <c:formatCode>0</c:formatCode>
                <c:ptCount val="3"/>
                <c:pt idx="0">
                  <c:v>20</c:v>
                </c:pt>
                <c:pt idx="1">
                  <c:v>11</c:v>
                </c:pt>
                <c:pt idx="2">
                  <c:v>33</c:v>
                </c:pt>
              </c:numCache>
            </c:numRef>
          </c:val>
          <c:extLst>
            <c:ext xmlns:c16="http://schemas.microsoft.com/office/drawing/2014/chart" uri="{C3380CC4-5D6E-409C-BE32-E72D297353CC}">
              <c16:uniqueId val="{00000000-BB64-4026-B97F-8D6ACADCCFA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Aptos Narrow" panose="020B000402020202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Aptos Narrow" panose="020B0004020202020204" pitchFamily="34" charset="0"/>
                <a:ea typeface="+mn-ea"/>
                <a:cs typeface="+mn-cs"/>
              </a:defRPr>
            </a:pPr>
            <a:r>
              <a:rPr lang="en-US">
                <a:latin typeface="Aptos Narrow" panose="020B0004020202020204" pitchFamily="34" charset="0"/>
              </a:rPr>
              <a:t>Mức độ tuân thủ theo Mục / </a:t>
            </a:r>
            <a:r>
              <a:rPr lang="ko-KR">
                <a:latin typeface="Aptos Narrow" panose="020B0004020202020204" pitchFamily="34" charset="0"/>
              </a:rPr>
              <a:t>절별 준수 현황</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Aptos Narrow" panose="020B0004020202020204" pitchFamily="34" charset="0"/>
              <a:ea typeface="+mn-ea"/>
              <a:cs typeface="+mn-cs"/>
            </a:defRPr>
          </a:pPr>
          <a:endParaRPr lang="en-US"/>
        </a:p>
      </c:txPr>
    </c:title>
    <c:autoTitleDeleted val="0"/>
    <c:plotArea>
      <c:layout/>
      <c:barChart>
        <c:barDir val="col"/>
        <c:grouping val="clustered"/>
        <c:varyColors val="0"/>
        <c:ser>
          <c:idx val="0"/>
          <c:order val="0"/>
          <c:tx>
            <c:strRef>
              <c:f>Report!$C$19</c:f>
              <c:strCache>
                <c:ptCount val="1"/>
                <c:pt idx="0">
                  <c:v>Tuân thủ (OK)
완전준수</c:v>
                </c:pt>
              </c:strCache>
            </c:strRef>
          </c:tx>
          <c:spPr>
            <a:solidFill>
              <a:srgbClr val="548235"/>
            </a:solidFill>
            <a:ln>
              <a:noFill/>
            </a:ln>
            <a:effectLst/>
          </c:spPr>
          <c:invertIfNegative val="0"/>
          <c:cat>
            <c:strRef>
              <c:f>Report!$B$20:$B$22</c:f>
              <c:strCache>
                <c:ptCount val="3"/>
                <c:pt idx="0">
                  <c:v>제1절</c:v>
                </c:pt>
                <c:pt idx="1">
                  <c:v>제2절</c:v>
                </c:pt>
                <c:pt idx="2">
                  <c:v>제3절</c:v>
                </c:pt>
              </c:strCache>
            </c:strRef>
          </c:cat>
          <c:val>
            <c:numRef>
              <c:f>Report!$C$20:$C$22</c:f>
              <c:numCache>
                <c:formatCode>0</c:formatCode>
                <c:ptCount val="3"/>
                <c:pt idx="0">
                  <c:v>6</c:v>
                </c:pt>
                <c:pt idx="1">
                  <c:v>2</c:v>
                </c:pt>
                <c:pt idx="2">
                  <c:v>12</c:v>
                </c:pt>
              </c:numCache>
            </c:numRef>
          </c:val>
          <c:extLst>
            <c:ext xmlns:c16="http://schemas.microsoft.com/office/drawing/2014/chart" uri="{C3380CC4-5D6E-409C-BE32-E72D297353CC}">
              <c16:uniqueId val="{00000000-9DF7-4256-A306-FEEF9EEF88D9}"/>
            </c:ext>
          </c:extLst>
        </c:ser>
        <c:ser>
          <c:idx val="1"/>
          <c:order val="1"/>
          <c:tx>
            <c:strRef>
              <c:f>Report!$D$19</c:f>
              <c:strCache>
                <c:ptCount val="1"/>
                <c:pt idx="0">
                  <c:v>Cần rà soát
재확인</c:v>
                </c:pt>
              </c:strCache>
            </c:strRef>
          </c:tx>
          <c:spPr>
            <a:solidFill>
              <a:srgbClr val="BF8F00"/>
            </a:solidFill>
            <a:ln>
              <a:noFill/>
            </a:ln>
            <a:effectLst/>
          </c:spPr>
          <c:invertIfNegative val="0"/>
          <c:cat>
            <c:strRef>
              <c:f>Report!$B$20:$B$22</c:f>
              <c:strCache>
                <c:ptCount val="3"/>
                <c:pt idx="0">
                  <c:v>제1절</c:v>
                </c:pt>
                <c:pt idx="1">
                  <c:v>제2절</c:v>
                </c:pt>
                <c:pt idx="2">
                  <c:v>제3절</c:v>
                </c:pt>
              </c:strCache>
            </c:strRef>
          </c:cat>
          <c:val>
            <c:numRef>
              <c:f>Report!$D$20:$D$22</c:f>
              <c:numCache>
                <c:formatCode>0</c:formatCode>
                <c:ptCount val="3"/>
                <c:pt idx="0">
                  <c:v>5</c:v>
                </c:pt>
                <c:pt idx="1">
                  <c:v>4</c:v>
                </c:pt>
                <c:pt idx="2">
                  <c:v>2</c:v>
                </c:pt>
              </c:numCache>
            </c:numRef>
          </c:val>
          <c:extLst>
            <c:ext xmlns:c16="http://schemas.microsoft.com/office/drawing/2014/chart" uri="{C3380CC4-5D6E-409C-BE32-E72D297353CC}">
              <c16:uniqueId val="{00000001-9DF7-4256-A306-FEEF9EEF88D9}"/>
            </c:ext>
          </c:extLst>
        </c:ser>
        <c:ser>
          <c:idx val="2"/>
          <c:order val="2"/>
          <c:tx>
            <c:strRef>
              <c:f>Report!$E$19</c:f>
              <c:strCache>
                <c:ptCount val="1"/>
                <c:pt idx="0">
                  <c:v>Cần hành động
조치</c:v>
                </c:pt>
              </c:strCache>
            </c:strRef>
          </c:tx>
          <c:spPr>
            <a:solidFill>
              <a:srgbClr val="C00000"/>
            </a:solidFill>
            <a:ln>
              <a:noFill/>
            </a:ln>
            <a:effectLst/>
          </c:spPr>
          <c:invertIfNegative val="0"/>
          <c:cat>
            <c:strRef>
              <c:f>Report!$B$20:$B$22</c:f>
              <c:strCache>
                <c:ptCount val="3"/>
                <c:pt idx="0">
                  <c:v>제1절</c:v>
                </c:pt>
                <c:pt idx="1">
                  <c:v>제2절</c:v>
                </c:pt>
                <c:pt idx="2">
                  <c:v>제3절</c:v>
                </c:pt>
              </c:strCache>
            </c:strRef>
          </c:cat>
          <c:val>
            <c:numRef>
              <c:f>Report!$E$20:$E$22</c:f>
              <c:numCache>
                <c:formatCode>0</c:formatCode>
                <c:ptCount val="3"/>
                <c:pt idx="0">
                  <c:v>10</c:v>
                </c:pt>
                <c:pt idx="1">
                  <c:v>10</c:v>
                </c:pt>
                <c:pt idx="2">
                  <c:v>13</c:v>
                </c:pt>
              </c:numCache>
            </c:numRef>
          </c:val>
          <c:extLst>
            <c:ext xmlns:c16="http://schemas.microsoft.com/office/drawing/2014/chart" uri="{C3380CC4-5D6E-409C-BE32-E72D297353CC}">
              <c16:uniqueId val="{00000002-9DF7-4256-A306-FEEF9EEF88D9}"/>
            </c:ext>
          </c:extLst>
        </c:ser>
        <c:dLbls>
          <c:showLegendKey val="0"/>
          <c:showVal val="0"/>
          <c:showCatName val="0"/>
          <c:showSerName val="0"/>
          <c:showPercent val="0"/>
          <c:showBubbleSize val="0"/>
        </c:dLbls>
        <c:gapWidth val="219"/>
        <c:overlap val="-27"/>
        <c:axId val="1213474608"/>
        <c:axId val="1213472208"/>
      </c:barChart>
      <c:catAx>
        <c:axId val="1213474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472208"/>
        <c:crosses val="autoZero"/>
        <c:auto val="1"/>
        <c:lblAlgn val="ctr"/>
        <c:lblOffset val="100"/>
        <c:noMultiLvlLbl val="0"/>
      </c:catAx>
      <c:valAx>
        <c:axId val="12134722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4746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0</xdr:colOff>
      <xdr:row>31</xdr:row>
      <xdr:rowOff>0</xdr:rowOff>
    </xdr:from>
    <xdr:to>
      <xdr:col>5</xdr:col>
      <xdr:colOff>0</xdr:colOff>
      <xdr:row>47</xdr:row>
      <xdr:rowOff>0</xdr:rowOff>
    </xdr:to>
    <xdr:graphicFrame macro="">
      <xdr:nvGraphicFramePr>
        <xdr:cNvPr id="2" name="Chart 1">
          <a:extLst>
            <a:ext uri="{FF2B5EF4-FFF2-40B4-BE49-F238E27FC236}">
              <a16:creationId xmlns:a16="http://schemas.microsoft.com/office/drawing/2014/main" id="{0CD5ECD4-7B1A-CE13-C399-3E69A5249D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31</xdr:row>
      <xdr:rowOff>0</xdr:rowOff>
    </xdr:from>
    <xdr:to>
      <xdr:col>9</xdr:col>
      <xdr:colOff>0</xdr:colOff>
      <xdr:row>47</xdr:row>
      <xdr:rowOff>0</xdr:rowOff>
    </xdr:to>
    <xdr:graphicFrame macro="">
      <xdr:nvGraphicFramePr>
        <xdr:cNvPr id="3" name="Chart 2">
          <a:extLst>
            <a:ext uri="{FF2B5EF4-FFF2-40B4-BE49-F238E27FC236}">
              <a16:creationId xmlns:a16="http://schemas.microsoft.com/office/drawing/2014/main" id="{7991BE50-20AB-E495-9A2A-4D822CF4A6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9525</xdr:colOff>
      <xdr:row>41</xdr:row>
      <xdr:rowOff>790575</xdr:rowOff>
    </xdr:from>
    <xdr:to>
      <xdr:col>10</xdr:col>
      <xdr:colOff>222250</xdr:colOff>
      <xdr:row>44</xdr:row>
      <xdr:rowOff>447399</xdr:rowOff>
    </xdr:to>
    <xdr:pic>
      <xdr:nvPicPr>
        <xdr:cNvPr id="6" name="Picture 1">
          <a:extLst>
            <a:ext uri="{FF2B5EF4-FFF2-40B4-BE49-F238E27FC236}">
              <a16:creationId xmlns:a16="http://schemas.microsoft.com/office/drawing/2014/main" id="{35260114-BFD7-35FF-3759-10AE7D755A7C}"/>
            </a:ext>
          </a:extLst>
        </xdr:cNvPr>
        <xdr:cNvPicPr>
          <a:picLocks noChangeAspect="1"/>
        </xdr:cNvPicPr>
      </xdr:nvPicPr>
      <xdr:blipFill>
        <a:blip xmlns:r="http://schemas.openxmlformats.org/officeDocument/2006/relationships" r:embed="rId1"/>
        <a:stretch>
          <a:fillRect/>
        </a:stretch>
      </xdr:blipFill>
      <xdr:spPr>
        <a:xfrm>
          <a:off x="13125450" y="3105150"/>
          <a:ext cx="2828925" cy="34385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Phạm Thị Nhung" id="{D0EEB38F-241F-46FD-96E8-60F7CA5A2046}" userId="S::nhungpt@nhsv.vn::efd89869-bc98-4b2c-bb90-b9c8e6d4161a"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9" dT="2026-06-18T04:21:30.98" personId="{D0EEB38F-241F-46FD-96E8-60F7CA5A2046}" id="{15A4AA41-0773-48DD-AB46-8FE7C94D55C2}">
    <text xml:space="preserve">Điều 8. Xác thực bằng mã khóa dùng một lần (OTP)  
1. SMS OTP phải đáp ứng các yêu cầu sau:
a) OTP gửi tới khách hàng phải kèm thông tin thông báo để khách hàng nhận biết được mục đích của OTP; 
b) OTP có hiệu lực tối đa 05 phút kể từ thời điểm được hệ thống tạo.
2. Voice OTP phải đáp ứng các yêu cầu sau: 
a) OTP gửi tới khách hàng phải kèm thông tin thông báo để khách hàng nhận biết được mục đích của OTP; 
b) OTP có hiệu lực tối đa 03 phút kể từ thời điểm cuộc gọi được hệ thống thiết lập thành công.
3. Email OTP phải đáp ứng các yêu cầu sau: 
a) OTP gửi tới khách hàng phải kèm thông tin thông báo để khách hàng nhận biết được mục đích của OTP; 
b) OTP có hiệu lực tối đa 05 phút kể từ thời điểm được hệ thống tạo.
4. Thẻ ma trận OTP phải đáp ứng các yêu cầu sau: 
a) Thẻ ma trận OTP có thời hạn sử dụng tối đa 01 năm kể từ ngày đăng ký thẻ;
b) Yêu cầu xác thực OTP có hiệu lực tối đa 02 phút kể từ thời điểm được hệ thống tạo.
5. Soft OTP phải đáp ứng các yêu cầu sau: 
a) Trường hợp phần mềm Soft OTP độc lập với phần mềm ứng dụng Mobile App, phải được tổ chức cung cấp dịch vụ đăng ký, quản lý phần mềm tại kho ứng dụng chính thức của hãng cung cấp hệ điều hành cho thiết bị di động và hướng dẫn cài đặt trên trang thông tin điện tử của tổ chức cung cấp dịch vụ; 
b) Phần mềm phải có chức năng xác thực khách hàng khi sử dụng lần đầu hoặc khi sử dụng trên thiết bị khác với thiết bị sử dụng lần gần nhất. Việc xác thực khách hàng phải bảo đảm khớp đúng SMS OTP hoặc Voice OTP thông qua số điện thoại di động đã được khách hàng đăng ký với tổ chức cung cấp dịch vụ và khớp đúng thông tin sinh trắc học của khách hàng theo một trong các loại thông tin sinh trắc học quy định tại khoản 12 Điều 3 Thông tư này;
c) Phần mềm Soft OTP phải yêu cầu kích hoạt trước khi sử dụng. Mã kích hoạt sử dụng Soft OTP do tổ chức cung cấp dịch vụ cung cấp cho khách hàng và chỉ được sử dụng để kích hoạt trên một thiết bị di động. Mã kích hoạt phải được thiết lập thời hạn hiệu lực sử dụng;
d) Phần mềm Soft OTP phải có chức năng kiểm soát truy cập. Trường hợp truy cập sai liên tiếp quá số lần do tổ chức cung cấp dịch vụ quy định (nhưng không quá 10 lần), phần mềm Soft OTP phải tự động khóa không cho khách hàng sử dụng tiếp. Tổ chức cung cấp dịch vụ chỉ mở khóa phần mềm Soft OTP khi khách hàng yêu cầu và phải kiểm tra, nhận biết khách hàng trước khi thực hiện mở khóa, bảo đảm chống gian lận, giả mạo;
đ) Mã OTP có hiệu lực tối đa 02 phút kể từ thời điểm được hệ thống tạo.
6. Token OTP: OTP có hiệu lực tối đa 02 phút kể từ thời điểm được hệ thống tạo. </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E59544C-5E9D-4F34-9CFD-B1C38B7450E4}">
  <we:reference id="WA200009404" version="1.0.0.8" store="Omex" storeType="OMEX"/>
  <we:alternateReferences>
    <we:reference id="WA200009404" version="1.0.0.8" store="WA200009404" storeType="OMEX"/>
  </we:alternateReferences>
  <we:properties>
    <we:property name="claude.fileId" value="&quot;9553e22b-c2b4-41fd-a391-1d3edadb0022&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webtrading.nhsv.vn/v4/auth/log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25A15-DCEB-41A0-AA58-1CBB86716DDF}">
  <sheetPr>
    <tabColor rgb="FF1F3864"/>
  </sheetPr>
  <dimension ref="B1:I56"/>
  <sheetViews>
    <sheetView showGridLines="0" workbookViewId="0">
      <selection activeCell="N19" sqref="N19"/>
    </sheetView>
  </sheetViews>
  <sheetFormatPr baseColWidth="10" defaultColWidth="9.1640625" defaultRowHeight="15" x14ac:dyDescent="0.2"/>
  <cols>
    <col min="1" max="1" width="2.6640625" style="23" customWidth="1"/>
    <col min="2" max="2" width="20" style="23" bestFit="1" customWidth="1"/>
    <col min="3" max="4" width="15.5" style="23" customWidth="1"/>
    <col min="5" max="5" width="13.5" style="23" customWidth="1"/>
    <col min="6" max="8" width="15.5" style="23" customWidth="1"/>
    <col min="9" max="9" width="24.83203125" style="23" customWidth="1"/>
    <col min="10" max="10" width="2.6640625" style="23" customWidth="1"/>
    <col min="11" max="16384" width="9.1640625" style="23"/>
  </cols>
  <sheetData>
    <row r="1" spans="2:9" ht="43.5" customHeight="1" x14ac:dyDescent="0.25">
      <c r="B1" s="92" t="s">
        <v>0</v>
      </c>
      <c r="C1" s="93"/>
      <c r="D1" s="93"/>
      <c r="E1" s="93"/>
      <c r="F1" s="93"/>
      <c r="G1" s="93"/>
      <c r="H1" s="93"/>
      <c r="I1" s="93"/>
    </row>
    <row r="3" spans="2:9" x14ac:dyDescent="0.2">
      <c r="B3" s="71" t="s">
        <v>1</v>
      </c>
      <c r="C3" s="71"/>
      <c r="D3" s="71"/>
      <c r="E3" s="71"/>
      <c r="F3" s="71"/>
      <c r="G3" s="71"/>
      <c r="H3" s="71"/>
      <c r="I3" s="71"/>
    </row>
    <row r="4" spans="2:9" x14ac:dyDescent="0.2">
      <c r="B4" s="24"/>
      <c r="C4" s="24"/>
      <c r="D4" s="24"/>
      <c r="E4" s="24"/>
      <c r="F4" s="24"/>
      <c r="G4" s="24"/>
      <c r="H4" s="24"/>
      <c r="I4" s="24"/>
    </row>
    <row r="5" spans="2:9" ht="39" x14ac:dyDescent="0.2">
      <c r="B5" s="94">
        <f>COUNTA(Checklist!$A$3:$A$66)</f>
        <v>64</v>
      </c>
      <c r="C5" s="95"/>
      <c r="D5" s="96">
        <f>COUNTIF(Checklist!$G$3:$G$66,"OK")</f>
        <v>20</v>
      </c>
      <c r="E5" s="97"/>
      <c r="F5" s="98">
        <f>COUNTIF(Checklist!$G$3:$G$66,"Cần check lại*")</f>
        <v>11</v>
      </c>
      <c r="G5" s="99"/>
      <c r="H5" s="100">
        <f>COUNTIF(Checklist!$G$3:$G$66,"Cần hành động*")</f>
        <v>33</v>
      </c>
      <c r="I5" s="100"/>
    </row>
    <row r="6" spans="2:9" ht="24" customHeight="1" x14ac:dyDescent="0.2">
      <c r="B6" s="78" t="s">
        <v>2</v>
      </c>
      <c r="C6" s="79"/>
      <c r="D6" s="80">
        <f>D5/$B$5</f>
        <v>0.3125</v>
      </c>
      <c r="E6" s="81"/>
      <c r="F6" s="82">
        <f>F5/$B$5</f>
        <v>0.171875</v>
      </c>
      <c r="G6" s="83"/>
      <c r="H6" s="84">
        <f>H5/$B$5</f>
        <v>0.515625</v>
      </c>
      <c r="I6" s="84"/>
    </row>
    <row r="7" spans="2:9" x14ac:dyDescent="0.2">
      <c r="B7" s="85" t="s">
        <v>3</v>
      </c>
      <c r="C7" s="86"/>
      <c r="D7" s="87" t="s">
        <v>4</v>
      </c>
      <c r="E7" s="88"/>
      <c r="F7" s="89" t="s">
        <v>5</v>
      </c>
      <c r="G7" s="90"/>
      <c r="H7" s="91" t="s">
        <v>6</v>
      </c>
      <c r="I7" s="91"/>
    </row>
    <row r="8" spans="2:9" x14ac:dyDescent="0.2">
      <c r="B8" s="85"/>
      <c r="C8" s="86"/>
      <c r="D8" s="87"/>
      <c r="E8" s="88"/>
      <c r="F8" s="89"/>
      <c r="G8" s="90"/>
      <c r="H8" s="91"/>
      <c r="I8" s="91"/>
    </row>
    <row r="9" spans="2:9" x14ac:dyDescent="0.2">
      <c r="B9" s="24"/>
      <c r="C9" s="24"/>
      <c r="D9" s="24"/>
      <c r="E9" s="24"/>
      <c r="F9" s="24"/>
      <c r="G9" s="24"/>
      <c r="H9" s="24"/>
      <c r="I9" s="24"/>
    </row>
    <row r="10" spans="2:9" x14ac:dyDescent="0.2">
      <c r="B10" s="71" t="s">
        <v>7</v>
      </c>
      <c r="C10" s="71"/>
      <c r="D10" s="71"/>
      <c r="E10" s="71"/>
      <c r="F10" s="71"/>
      <c r="G10" s="71"/>
      <c r="H10" s="71"/>
      <c r="I10" s="71"/>
    </row>
    <row r="11" spans="2:9" ht="26.25" customHeight="1" x14ac:dyDescent="0.2">
      <c r="B11" s="72" t="s">
        <v>8</v>
      </c>
      <c r="C11" s="72"/>
      <c r="D11" s="72"/>
      <c r="E11" s="52" t="s">
        <v>9</v>
      </c>
      <c r="F11" s="52" t="s">
        <v>10</v>
      </c>
      <c r="G11" s="24"/>
      <c r="H11" s="24"/>
      <c r="I11" s="24"/>
    </row>
    <row r="12" spans="2:9" ht="21" customHeight="1" x14ac:dyDescent="0.2">
      <c r="B12" s="73" t="s">
        <v>11</v>
      </c>
      <c r="C12" s="73"/>
      <c r="D12" s="73"/>
      <c r="E12" s="34">
        <f>COUNTIF(Checklist!$F$3:$F$66,"Có*")</f>
        <v>26</v>
      </c>
      <c r="F12" s="35">
        <f>E12/$E$16</f>
        <v>0.40625</v>
      </c>
      <c r="G12" s="24"/>
      <c r="H12" s="24"/>
      <c r="I12" s="24"/>
    </row>
    <row r="13" spans="2:9" ht="21" customHeight="1" x14ac:dyDescent="0.2">
      <c r="B13" s="74" t="s">
        <v>12</v>
      </c>
      <c r="C13" s="74"/>
      <c r="D13" s="74"/>
      <c r="E13" s="34">
        <f>COUNTIF(Checklist!$F$3:$F$66,"Không*")</f>
        <v>24</v>
      </c>
      <c r="F13" s="35">
        <f>E13/$E$16</f>
        <v>0.375</v>
      </c>
      <c r="G13" s="24"/>
      <c r="H13" s="24"/>
      <c r="I13" s="24"/>
    </row>
    <row r="14" spans="2:9" ht="21" customHeight="1" x14ac:dyDescent="0.2">
      <c r="B14" s="73" t="s">
        <v>13</v>
      </c>
      <c r="C14" s="73"/>
      <c r="D14" s="73"/>
      <c r="E14" s="34">
        <f>COUNTIF(Checklist!$F$3:$F$66,"Chưa đánh giá*")</f>
        <v>10</v>
      </c>
      <c r="F14" s="35">
        <f>E14/$E$16</f>
        <v>0.15625</v>
      </c>
      <c r="G14" s="24"/>
      <c r="H14" s="24"/>
      <c r="I14" s="24"/>
    </row>
    <row r="15" spans="2:9" ht="21" customHeight="1" x14ac:dyDescent="0.2">
      <c r="B15" s="73" t="s">
        <v>14</v>
      </c>
      <c r="C15" s="73"/>
      <c r="D15" s="73"/>
      <c r="E15" s="34">
        <f>COUNTIF(Checklist!$F$3:$F$66,"N/A*")</f>
        <v>4</v>
      </c>
      <c r="F15" s="35">
        <f>E15/$E$16</f>
        <v>6.25E-2</v>
      </c>
      <c r="G15" s="24"/>
      <c r="H15" s="24"/>
      <c r="I15" s="24"/>
    </row>
    <row r="16" spans="2:9" ht="21" customHeight="1" x14ac:dyDescent="0.2">
      <c r="B16" s="73" t="s">
        <v>15</v>
      </c>
      <c r="C16" s="73"/>
      <c r="D16" s="73"/>
      <c r="E16" s="36">
        <f>SUM(E12:E15)</f>
        <v>64</v>
      </c>
      <c r="F16" s="37">
        <f>SUM(F12:F15)</f>
        <v>1</v>
      </c>
      <c r="G16" s="24"/>
      <c r="H16" s="24"/>
      <c r="I16" s="24"/>
    </row>
    <row r="17" spans="2:9" ht="21" customHeight="1" x14ac:dyDescent="0.2">
      <c r="B17" s="24"/>
      <c r="C17" s="24"/>
      <c r="D17" s="24"/>
      <c r="E17" s="24"/>
      <c r="F17" s="24"/>
      <c r="G17" s="24"/>
      <c r="H17" s="24"/>
      <c r="I17" s="24"/>
    </row>
    <row r="18" spans="2:9" ht="21" customHeight="1" x14ac:dyDescent="0.2">
      <c r="B18" s="71" t="s">
        <v>16</v>
      </c>
      <c r="C18" s="71"/>
      <c r="D18" s="71"/>
      <c r="E18" s="71"/>
      <c r="F18" s="71"/>
      <c r="G18" s="71"/>
      <c r="H18" s="71"/>
      <c r="I18" s="71"/>
    </row>
    <row r="19" spans="2:9" ht="33.75" customHeight="1" x14ac:dyDescent="0.2">
      <c r="B19" s="52" t="s">
        <v>17</v>
      </c>
      <c r="C19" s="53" t="s">
        <v>18</v>
      </c>
      <c r="D19" s="53" t="s">
        <v>19</v>
      </c>
      <c r="E19" s="53" t="s">
        <v>20</v>
      </c>
      <c r="F19" s="53" t="s">
        <v>21</v>
      </c>
      <c r="G19" s="53" t="s">
        <v>22</v>
      </c>
      <c r="H19" s="75" t="s">
        <v>23</v>
      </c>
      <c r="I19" s="76"/>
    </row>
    <row r="20" spans="2:9" ht="24" customHeight="1" x14ac:dyDescent="0.2">
      <c r="B20" s="27" t="s">
        <v>24</v>
      </c>
      <c r="C20" s="28">
        <f>COUNTIFS(Checklist!$B$3:$B$66,"*"&amp;$B20&amp;"*",Checklist!$G$3:$G$66,"OK")</f>
        <v>6</v>
      </c>
      <c r="D20" s="28">
        <f>COUNTIFS(Checklist!$B$3:$B$66,"*"&amp;$B20&amp;"*",Checklist!$G$3:$G$66,"Cần check lại*")</f>
        <v>5</v>
      </c>
      <c r="E20" s="28">
        <f>COUNTIFS(Checklist!$B$3:$B$66,"*"&amp;$B20&amp;"*",Checklist!$G$3:$G$66,"Cần hành động*")</f>
        <v>10</v>
      </c>
      <c r="F20" s="29">
        <f>SUM(C20:E20)</f>
        <v>21</v>
      </c>
      <c r="G20" s="30">
        <f>C20/F20</f>
        <v>0.2857142857142857</v>
      </c>
      <c r="H20" s="70" t="s">
        <v>25</v>
      </c>
      <c r="I20" s="70"/>
    </row>
    <row r="21" spans="2:9" ht="24" customHeight="1" x14ac:dyDescent="0.2">
      <c r="B21" s="31" t="s">
        <v>26</v>
      </c>
      <c r="C21" s="25">
        <f>COUNTIFS(Checklist!$B$3:$B$66,"*"&amp;$B21&amp;"*",Checklist!$G$3:$G$66,"OK")</f>
        <v>2</v>
      </c>
      <c r="D21" s="25">
        <f>COUNTIFS(Checklist!$B$3:$B$66,"*"&amp;$B21&amp;"*",Checklist!$G$3:$G$66,"Cần check lại*")</f>
        <v>4</v>
      </c>
      <c r="E21" s="25">
        <f>COUNTIFS(Checklist!$B$3:$B$66,"*"&amp;$B21&amp;"*",Checklist!$G$3:$G$66,"Cần hành động*")</f>
        <v>10</v>
      </c>
      <c r="F21" s="32">
        <f t="shared" ref="F21:F22" si="0">SUM(C21:E21)</f>
        <v>16</v>
      </c>
      <c r="G21" s="26">
        <f t="shared" ref="G21:G22" si="1">C21/F21</f>
        <v>0.125</v>
      </c>
      <c r="H21" s="77" t="s">
        <v>27</v>
      </c>
      <c r="I21" s="77"/>
    </row>
    <row r="22" spans="2:9" ht="24" customHeight="1" x14ac:dyDescent="0.2">
      <c r="B22" s="27" t="s">
        <v>28</v>
      </c>
      <c r="C22" s="28">
        <f>COUNTIFS(Checklist!$B$3:$B$66,"*"&amp;$B22&amp;"*",Checklist!$G$3:$G$66,"OK")</f>
        <v>12</v>
      </c>
      <c r="D22" s="28">
        <f>COUNTIFS(Checklist!$B$3:$B$66,"*"&amp;$B22&amp;"*",Checklist!$G$3:$G$66,"Cần check lại*")</f>
        <v>2</v>
      </c>
      <c r="E22" s="28">
        <f>COUNTIFS(Checklist!$B$3:$B$66,"*"&amp;$B22&amp;"*",Checklist!$G$3:$G$66,"Cần hành động*")</f>
        <v>13</v>
      </c>
      <c r="F22" s="29">
        <f t="shared" si="0"/>
        <v>27</v>
      </c>
      <c r="G22" s="30">
        <f t="shared" si="1"/>
        <v>0.44444444444444442</v>
      </c>
      <c r="H22" s="70" t="s">
        <v>29</v>
      </c>
      <c r="I22" s="70"/>
    </row>
    <row r="23" spans="2:9" ht="21" customHeight="1" x14ac:dyDescent="0.2">
      <c r="B23" s="51" t="s">
        <v>15</v>
      </c>
      <c r="C23" s="36">
        <f>SUM(C20:C22)</f>
        <v>20</v>
      </c>
      <c r="D23" s="36">
        <f>SUM(D20:D22)</f>
        <v>11</v>
      </c>
      <c r="E23" s="36">
        <f>SUM(E20:E22)</f>
        <v>33</v>
      </c>
      <c r="F23" s="36">
        <f>SUM(F20:F22)</f>
        <v>64</v>
      </c>
      <c r="G23" s="37">
        <f>C23/F23</f>
        <v>0.3125</v>
      </c>
      <c r="H23" s="67"/>
      <c r="I23" s="67"/>
    </row>
    <row r="24" spans="2:9" x14ac:dyDescent="0.2">
      <c r="B24" s="24"/>
      <c r="C24" s="24"/>
      <c r="D24" s="24"/>
      <c r="E24" s="24"/>
      <c r="F24" s="24"/>
      <c r="G24" s="24"/>
      <c r="H24" s="24"/>
      <c r="I24" s="24"/>
    </row>
    <row r="25" spans="2:9" x14ac:dyDescent="0.2">
      <c r="B25" s="68" t="s">
        <v>30</v>
      </c>
      <c r="C25" s="68"/>
      <c r="D25" s="68"/>
      <c r="E25" s="68"/>
      <c r="F25" s="68"/>
      <c r="G25" s="68"/>
      <c r="H25" s="68"/>
      <c r="I25" s="68"/>
    </row>
    <row r="26" spans="2:9" x14ac:dyDescent="0.2">
      <c r="B26" s="24"/>
      <c r="C26" s="24"/>
      <c r="D26" s="24"/>
      <c r="E26" s="24"/>
      <c r="F26" s="24"/>
      <c r="G26" s="24"/>
      <c r="H26" s="24"/>
      <c r="I26" s="24"/>
    </row>
    <row r="27" spans="2:9" x14ac:dyDescent="0.2">
      <c r="B27" s="54" t="s">
        <v>31</v>
      </c>
      <c r="C27" s="55" t="s">
        <v>32</v>
      </c>
      <c r="D27" s="24"/>
      <c r="E27" s="24"/>
      <c r="F27" s="24"/>
      <c r="G27" s="24"/>
      <c r="H27" s="24"/>
      <c r="I27" s="24"/>
    </row>
    <row r="28" spans="2:9" x14ac:dyDescent="0.2">
      <c r="B28" s="38" t="s">
        <v>33</v>
      </c>
      <c r="C28" s="33">
        <f>D5</f>
        <v>20</v>
      </c>
      <c r="D28" s="24"/>
      <c r="E28" s="24"/>
      <c r="F28" s="24"/>
      <c r="G28" s="24"/>
      <c r="H28" s="24"/>
      <c r="I28" s="24"/>
    </row>
    <row r="29" spans="2:9" x14ac:dyDescent="0.2">
      <c r="B29" s="38" t="s">
        <v>34</v>
      </c>
      <c r="C29" s="33">
        <f>F5</f>
        <v>11</v>
      </c>
      <c r="D29" s="24"/>
      <c r="E29" s="24"/>
      <c r="F29" s="24"/>
      <c r="G29" s="24"/>
      <c r="H29" s="24"/>
      <c r="I29" s="24"/>
    </row>
    <row r="30" spans="2:9" x14ac:dyDescent="0.2">
      <c r="B30" s="38" t="s">
        <v>35</v>
      </c>
      <c r="C30" s="33">
        <f>H5</f>
        <v>33</v>
      </c>
      <c r="D30" s="24"/>
      <c r="E30" s="24"/>
      <c r="F30" s="24"/>
      <c r="G30" s="24"/>
      <c r="H30" s="24"/>
      <c r="I30" s="24"/>
    </row>
    <row r="49" spans="2:9" x14ac:dyDescent="0.2">
      <c r="B49" s="69" t="s">
        <v>36</v>
      </c>
      <c r="C49" s="69"/>
      <c r="D49" s="69"/>
      <c r="E49" s="69"/>
      <c r="F49" s="69"/>
      <c r="G49" s="69"/>
      <c r="H49" s="69"/>
      <c r="I49" s="69"/>
    </row>
    <row r="50" spans="2:9" ht="47.25" customHeight="1" x14ac:dyDescent="0.2">
      <c r="B50" s="65" t="s">
        <v>37</v>
      </c>
      <c r="C50" s="65"/>
      <c r="D50" s="65"/>
      <c r="E50" s="65"/>
      <c r="F50" s="65"/>
      <c r="G50" s="65"/>
      <c r="H50" s="65"/>
      <c r="I50" s="65"/>
    </row>
    <row r="51" spans="2:9" ht="47.25" customHeight="1" x14ac:dyDescent="0.2">
      <c r="B51" s="66" t="s">
        <v>38</v>
      </c>
      <c r="C51" s="66"/>
      <c r="D51" s="66"/>
      <c r="E51" s="66"/>
      <c r="F51" s="66"/>
      <c r="G51" s="66"/>
      <c r="H51" s="66"/>
      <c r="I51" s="66"/>
    </row>
    <row r="52" spans="2:9" ht="47.25" customHeight="1" x14ac:dyDescent="0.2">
      <c r="B52" s="65" t="s">
        <v>39</v>
      </c>
      <c r="C52" s="65"/>
      <c r="D52" s="65"/>
      <c r="E52" s="65"/>
      <c r="F52" s="65"/>
      <c r="G52" s="65"/>
      <c r="H52" s="65"/>
      <c r="I52" s="65"/>
    </row>
    <row r="53" spans="2:9" ht="47.25" customHeight="1" x14ac:dyDescent="0.2">
      <c r="B53" s="65" t="s">
        <v>40</v>
      </c>
      <c r="C53" s="65"/>
      <c r="D53" s="65"/>
      <c r="E53" s="65"/>
      <c r="F53" s="65"/>
      <c r="G53" s="65"/>
      <c r="H53" s="65"/>
      <c r="I53" s="65"/>
    </row>
    <row r="54" spans="2:9" ht="47.25" customHeight="1" x14ac:dyDescent="0.2">
      <c r="B54" s="66" t="s">
        <v>41</v>
      </c>
      <c r="C54" s="66"/>
      <c r="D54" s="66"/>
      <c r="E54" s="66"/>
      <c r="F54" s="66"/>
      <c r="G54" s="66"/>
      <c r="H54" s="66"/>
      <c r="I54" s="66"/>
    </row>
    <row r="55" spans="2:9" ht="47.25" customHeight="1" x14ac:dyDescent="0.2">
      <c r="B55" s="65" t="s">
        <v>42</v>
      </c>
      <c r="C55" s="65"/>
      <c r="D55" s="65"/>
      <c r="E55" s="65"/>
      <c r="F55" s="65"/>
      <c r="G55" s="65"/>
      <c r="H55" s="65"/>
      <c r="I55" s="65"/>
    </row>
    <row r="56" spans="2:9" ht="30.75" customHeight="1" x14ac:dyDescent="0.2"/>
  </sheetData>
  <mergeCells count="35">
    <mergeCell ref="B1:I1"/>
    <mergeCell ref="B3:I3"/>
    <mergeCell ref="B5:C5"/>
    <mergeCell ref="D5:E5"/>
    <mergeCell ref="F5:G5"/>
    <mergeCell ref="H5:I5"/>
    <mergeCell ref="B6:C6"/>
    <mergeCell ref="D6:E6"/>
    <mergeCell ref="F6:G6"/>
    <mergeCell ref="H6:I6"/>
    <mergeCell ref="B7:C8"/>
    <mergeCell ref="D7:E8"/>
    <mergeCell ref="F7:G8"/>
    <mergeCell ref="H7:I8"/>
    <mergeCell ref="H22:I22"/>
    <mergeCell ref="B10:I10"/>
    <mergeCell ref="B11:D11"/>
    <mergeCell ref="B12:D12"/>
    <mergeCell ref="B13:D13"/>
    <mergeCell ref="B14:D14"/>
    <mergeCell ref="B15:D15"/>
    <mergeCell ref="B16:D16"/>
    <mergeCell ref="B18:I18"/>
    <mergeCell ref="H19:I19"/>
    <mergeCell ref="H20:I20"/>
    <mergeCell ref="H21:I21"/>
    <mergeCell ref="B53:I53"/>
    <mergeCell ref="B54:I54"/>
    <mergeCell ref="B55:I55"/>
    <mergeCell ref="H23:I23"/>
    <mergeCell ref="B25:I25"/>
    <mergeCell ref="B49:I49"/>
    <mergeCell ref="B50:I50"/>
    <mergeCell ref="B51:I51"/>
    <mergeCell ref="B52:I5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tabColor rgb="FFFFFF00"/>
    <pageSetUpPr fitToPage="1"/>
  </sheetPr>
  <dimension ref="A1:L47"/>
  <sheetViews>
    <sheetView showGridLines="0" tabSelected="1" zoomScale="130" zoomScaleNormal="130" workbookViewId="0">
      <pane xSplit="3" ySplit="2" topLeftCell="E5" activePane="bottomRight" state="frozen"/>
      <selection pane="topRight" activeCell="C1" sqref="C1"/>
      <selection pane="bottomLeft" activeCell="A3" sqref="A3"/>
      <selection pane="bottomRight" activeCell="H7" sqref="H7"/>
    </sheetView>
  </sheetViews>
  <sheetFormatPr baseColWidth="10" defaultColWidth="8.83203125" defaultRowHeight="15" x14ac:dyDescent="0.2"/>
  <cols>
    <col min="1" max="1" width="6.1640625" customWidth="1"/>
    <col min="2" max="2" width="27.5" style="39" customWidth="1"/>
    <col min="3" max="4" width="68.5" customWidth="1"/>
    <col min="5" max="5" width="20" customWidth="1"/>
    <col min="6" max="6" width="17.5" customWidth="1"/>
    <col min="7" max="7" width="24.5" customWidth="1"/>
    <col min="8" max="8" width="68.5" style="40" customWidth="1"/>
    <col min="9" max="9" width="68.5" style="40" hidden="1" customWidth="1"/>
    <col min="10" max="11" width="22.83203125" customWidth="1"/>
    <col min="12" max="12" width="17.1640625" customWidth="1"/>
  </cols>
  <sheetData>
    <row r="1" spans="1:12" ht="26" customHeight="1" x14ac:dyDescent="0.2">
      <c r="A1" s="101" t="s">
        <v>43</v>
      </c>
      <c r="B1" s="102"/>
      <c r="C1" s="102"/>
      <c r="D1" s="102"/>
      <c r="E1" s="102"/>
      <c r="F1" s="102"/>
      <c r="G1" s="102"/>
      <c r="H1" s="102"/>
      <c r="I1" s="102"/>
      <c r="J1" s="102"/>
      <c r="K1" s="102"/>
      <c r="L1" s="103"/>
    </row>
    <row r="2" spans="1:12" ht="42" customHeight="1" x14ac:dyDescent="0.2">
      <c r="A2" s="48" t="s">
        <v>44</v>
      </c>
      <c r="B2" s="49" t="s">
        <v>45</v>
      </c>
      <c r="C2" s="49" t="s">
        <v>46</v>
      </c>
      <c r="D2" s="49" t="s">
        <v>47</v>
      </c>
      <c r="E2" s="49" t="s">
        <v>48</v>
      </c>
      <c r="F2" s="49" t="s">
        <v>49</v>
      </c>
      <c r="G2" s="49" t="s">
        <v>50</v>
      </c>
      <c r="H2" s="49" t="s">
        <v>51</v>
      </c>
      <c r="I2" s="49" t="s">
        <v>52</v>
      </c>
      <c r="J2" s="49" t="s">
        <v>53</v>
      </c>
      <c r="K2" s="49" t="s">
        <v>54</v>
      </c>
      <c r="L2" s="50" t="s">
        <v>55</v>
      </c>
    </row>
    <row r="3" spans="1:12" ht="98" hidden="1" x14ac:dyDescent="0.2">
      <c r="A3" s="56">
        <v>1</v>
      </c>
      <c r="B3" s="57" t="str">
        <f t="shared" ref="B3:B47" si="0">_xlfn.LET(_xlpm.n,IFERROR(--MID(E3,6,2),--MID(E3,6,1)),IF(OR(_xlpm.n=14,_xlpm.n=15,_xlpm.n=31),"Mục 2 · 제2절 (API)",IF(AND(_xlpm.n&gt;=5,_xlpm.n&lt;=13),"Mục 1 · 제1절 (Quy định chung)",IF(AND(_xlpm.n&gt;=16,_xlpm.n&lt;=26),"Mục 3 · 제3절 (Hạ tầng)","—"))))</f>
        <v>Mục 1 · 제1절 (Quy định chung)</v>
      </c>
      <c r="C3" s="42" t="s">
        <v>56</v>
      </c>
      <c r="D3" s="42" t="s">
        <v>57</v>
      </c>
      <c r="E3" s="44" t="s">
        <v>58</v>
      </c>
      <c r="F3" s="45" t="s">
        <v>59</v>
      </c>
      <c r="G3" s="41" t="s">
        <v>60</v>
      </c>
      <c r="H3" s="42" t="s">
        <v>61</v>
      </c>
      <c r="I3" s="42" t="s">
        <v>62</v>
      </c>
      <c r="J3" s="42" t="s">
        <v>63</v>
      </c>
      <c r="K3" s="42"/>
      <c r="L3" s="58"/>
    </row>
    <row r="4" spans="1:12" ht="84" hidden="1" x14ac:dyDescent="0.2">
      <c r="A4" s="56">
        <v>2</v>
      </c>
      <c r="B4" s="57" t="str">
        <f t="shared" si="0"/>
        <v>Mục 1 · 제1절 (Quy định chung)</v>
      </c>
      <c r="C4" s="42" t="s">
        <v>64</v>
      </c>
      <c r="D4" s="42" t="s">
        <v>65</v>
      </c>
      <c r="E4" s="44" t="s">
        <v>58</v>
      </c>
      <c r="F4" s="45" t="s">
        <v>59</v>
      </c>
      <c r="G4" s="43" t="s">
        <v>66</v>
      </c>
      <c r="H4" s="42" t="s">
        <v>67</v>
      </c>
      <c r="I4" s="42" t="s">
        <v>68</v>
      </c>
      <c r="J4" s="42" t="s">
        <v>69</v>
      </c>
      <c r="K4" s="42" t="s">
        <v>70</v>
      </c>
      <c r="L4" s="58" t="s">
        <v>71</v>
      </c>
    </row>
    <row r="5" spans="1:12" ht="98" x14ac:dyDescent="0.2">
      <c r="A5" s="56">
        <v>3</v>
      </c>
      <c r="B5" s="57" t="str">
        <f t="shared" si="0"/>
        <v>Mục 1 · 제1절 (Quy định chung)</v>
      </c>
      <c r="C5" s="42" t="s">
        <v>72</v>
      </c>
      <c r="D5" s="42" t="s">
        <v>73</v>
      </c>
      <c r="E5" s="44" t="s">
        <v>58</v>
      </c>
      <c r="F5" s="45" t="s">
        <v>59</v>
      </c>
      <c r="G5" s="41" t="s">
        <v>60</v>
      </c>
      <c r="H5" s="42" t="s">
        <v>74</v>
      </c>
      <c r="I5" s="42" t="s">
        <v>75</v>
      </c>
      <c r="J5" s="42" t="s">
        <v>76</v>
      </c>
      <c r="K5" s="42"/>
      <c r="L5" s="58"/>
    </row>
    <row r="6" spans="1:12" ht="112" hidden="1" x14ac:dyDescent="0.2">
      <c r="A6" s="56">
        <v>4</v>
      </c>
      <c r="B6" s="57" t="str">
        <f t="shared" si="0"/>
        <v>Mục 1 · 제1절 (Quy định chung)</v>
      </c>
      <c r="C6" s="42" t="s">
        <v>77</v>
      </c>
      <c r="D6" s="42" t="s">
        <v>78</v>
      </c>
      <c r="E6" s="44" t="s">
        <v>58</v>
      </c>
      <c r="F6" s="45" t="s">
        <v>59</v>
      </c>
      <c r="G6" s="41" t="s">
        <v>60</v>
      </c>
      <c r="H6" s="42" t="s">
        <v>79</v>
      </c>
      <c r="I6" s="42" t="s">
        <v>80</v>
      </c>
      <c r="J6" s="42" t="s">
        <v>63</v>
      </c>
      <c r="K6" s="42"/>
      <c r="L6" s="58"/>
    </row>
    <row r="7" spans="1:12" ht="42" x14ac:dyDescent="0.2">
      <c r="A7" s="56">
        <v>5</v>
      </c>
      <c r="B7" s="57" t="str">
        <f t="shared" si="0"/>
        <v>Mục 1 · 제1절 (Quy định chung)</v>
      </c>
      <c r="C7" s="42" t="s">
        <v>81</v>
      </c>
      <c r="D7" s="42" t="s">
        <v>82</v>
      </c>
      <c r="E7" s="44" t="s">
        <v>83</v>
      </c>
      <c r="F7" s="45" t="s">
        <v>84</v>
      </c>
      <c r="G7" s="41" t="s">
        <v>60</v>
      </c>
      <c r="H7" s="42" t="s">
        <v>85</v>
      </c>
      <c r="I7" s="42" t="s">
        <v>86</v>
      </c>
      <c r="J7" s="42" t="s">
        <v>76</v>
      </c>
      <c r="K7" s="42"/>
      <c r="L7" s="58"/>
    </row>
    <row r="8" spans="1:12" ht="28" x14ac:dyDescent="0.2">
      <c r="A8" s="56">
        <v>6</v>
      </c>
      <c r="B8" s="57" t="str">
        <f t="shared" si="0"/>
        <v>Mục 1 · 제1절 (Quy định chung)</v>
      </c>
      <c r="C8" s="42" t="s">
        <v>87</v>
      </c>
      <c r="D8" s="42" t="s">
        <v>88</v>
      </c>
      <c r="E8" s="44" t="s">
        <v>83</v>
      </c>
      <c r="F8" s="45" t="s">
        <v>89</v>
      </c>
      <c r="G8" s="41" t="s">
        <v>60</v>
      </c>
      <c r="H8" s="42" t="s">
        <v>90</v>
      </c>
      <c r="I8" s="42" t="s">
        <v>91</v>
      </c>
      <c r="J8" s="42" t="s">
        <v>92</v>
      </c>
      <c r="K8" s="42"/>
      <c r="L8" s="58"/>
    </row>
    <row r="9" spans="1:12" ht="266" x14ac:dyDescent="0.2">
      <c r="A9" s="56">
        <v>7</v>
      </c>
      <c r="B9" s="57" t="str">
        <f t="shared" si="0"/>
        <v>Mục 1 · 제1절 (Quy định chung)</v>
      </c>
      <c r="C9" s="42" t="s">
        <v>93</v>
      </c>
      <c r="D9" s="42" t="s">
        <v>94</v>
      </c>
      <c r="E9" s="44" t="s">
        <v>95</v>
      </c>
      <c r="F9" s="45" t="s">
        <v>84</v>
      </c>
      <c r="G9" s="41" t="s">
        <v>60</v>
      </c>
      <c r="H9" s="42" t="s">
        <v>96</v>
      </c>
      <c r="I9" s="42" t="s">
        <v>97</v>
      </c>
      <c r="J9" s="42" t="s">
        <v>76</v>
      </c>
      <c r="K9" s="42"/>
      <c r="L9" s="58"/>
    </row>
    <row r="10" spans="1:12" ht="42" x14ac:dyDescent="0.2">
      <c r="A10" s="56">
        <v>8</v>
      </c>
      <c r="B10" s="57" t="str">
        <f t="shared" si="0"/>
        <v>Mục 1 · 제1절 (Quy định chung)</v>
      </c>
      <c r="C10" s="42" t="s">
        <v>98</v>
      </c>
      <c r="D10" s="42" t="s">
        <v>99</v>
      </c>
      <c r="E10" s="44" t="s">
        <v>95</v>
      </c>
      <c r="F10" s="45" t="s">
        <v>89</v>
      </c>
      <c r="G10" s="43" t="s">
        <v>66</v>
      </c>
      <c r="H10" s="42" t="s">
        <v>100</v>
      </c>
      <c r="I10" s="42" t="s">
        <v>101</v>
      </c>
      <c r="J10" s="42" t="s">
        <v>76</v>
      </c>
      <c r="K10" s="42"/>
      <c r="L10" s="58"/>
    </row>
    <row r="11" spans="1:12" ht="28" x14ac:dyDescent="0.2">
      <c r="A11" s="56">
        <v>9</v>
      </c>
      <c r="B11" s="57" t="str">
        <f t="shared" si="0"/>
        <v>Mục 1 · 제1절 (Quy định chung)</v>
      </c>
      <c r="C11" s="42" t="s">
        <v>102</v>
      </c>
      <c r="D11" s="42" t="s">
        <v>103</v>
      </c>
      <c r="E11" s="44" t="s">
        <v>95</v>
      </c>
      <c r="F11" s="45" t="s">
        <v>89</v>
      </c>
      <c r="G11" s="43" t="s">
        <v>66</v>
      </c>
      <c r="H11" s="42" t="s">
        <v>104</v>
      </c>
      <c r="I11" s="42" t="s">
        <v>105</v>
      </c>
      <c r="J11" s="42" t="s">
        <v>76</v>
      </c>
      <c r="K11" s="42"/>
      <c r="L11" s="58"/>
    </row>
    <row r="12" spans="1:12" ht="182" x14ac:dyDescent="0.2">
      <c r="A12" s="56">
        <v>10</v>
      </c>
      <c r="B12" s="57" t="str">
        <f t="shared" si="0"/>
        <v>Mục 1 · 제1절 (Quy định chung)</v>
      </c>
      <c r="C12" s="42" t="s">
        <v>106</v>
      </c>
      <c r="D12" s="42" t="s">
        <v>107</v>
      </c>
      <c r="E12" s="44" t="s">
        <v>95</v>
      </c>
      <c r="F12" s="45" t="s">
        <v>89</v>
      </c>
      <c r="G12" s="43" t="s">
        <v>66</v>
      </c>
      <c r="H12" s="42" t="s">
        <v>108</v>
      </c>
      <c r="I12" s="42" t="s">
        <v>109</v>
      </c>
      <c r="J12" s="42" t="s">
        <v>76</v>
      </c>
      <c r="K12" s="42"/>
      <c r="L12" s="58"/>
    </row>
    <row r="13" spans="1:12" ht="42" hidden="1" x14ac:dyDescent="0.2">
      <c r="A13" s="56">
        <v>11</v>
      </c>
      <c r="B13" s="57" t="str">
        <f t="shared" si="0"/>
        <v>Mục 1 · 제1절 (Quy định chung)</v>
      </c>
      <c r="C13" s="42" t="s">
        <v>110</v>
      </c>
      <c r="D13" s="42" t="s">
        <v>111</v>
      </c>
      <c r="E13" s="44" t="s">
        <v>112</v>
      </c>
      <c r="F13" s="45" t="s">
        <v>84</v>
      </c>
      <c r="G13" s="41" t="s">
        <v>60</v>
      </c>
      <c r="H13" s="42" t="s">
        <v>113</v>
      </c>
      <c r="I13" s="42" t="s">
        <v>114</v>
      </c>
      <c r="J13" s="42" t="s">
        <v>63</v>
      </c>
      <c r="K13" s="42"/>
      <c r="L13" s="58"/>
    </row>
    <row r="14" spans="1:12" ht="28" x14ac:dyDescent="0.2">
      <c r="A14" s="56">
        <v>12</v>
      </c>
      <c r="B14" s="57" t="str">
        <f t="shared" si="0"/>
        <v>Mục 1 · 제1절 (Quy định chung)</v>
      </c>
      <c r="C14" s="42" t="s">
        <v>115</v>
      </c>
      <c r="D14" s="42" t="s">
        <v>116</v>
      </c>
      <c r="E14" s="44" t="s">
        <v>112</v>
      </c>
      <c r="F14" s="45" t="s">
        <v>84</v>
      </c>
      <c r="G14" s="41" t="s">
        <v>60</v>
      </c>
      <c r="H14" s="42" t="s">
        <v>117</v>
      </c>
      <c r="I14" s="42" t="s">
        <v>118</v>
      </c>
      <c r="J14" s="42" t="s">
        <v>119</v>
      </c>
      <c r="K14" s="42"/>
      <c r="L14" s="58"/>
    </row>
    <row r="15" spans="1:12" ht="28" hidden="1" x14ac:dyDescent="0.2">
      <c r="A15" s="56">
        <v>13</v>
      </c>
      <c r="B15" s="57" t="str">
        <f t="shared" si="0"/>
        <v>Mục 1 · 제1절 (Quy định chung)</v>
      </c>
      <c r="C15" s="42" t="s">
        <v>120</v>
      </c>
      <c r="D15" s="42" t="s">
        <v>121</v>
      </c>
      <c r="E15" s="44" t="s">
        <v>112</v>
      </c>
      <c r="F15" s="45" t="s">
        <v>59</v>
      </c>
      <c r="G15" s="41" t="s">
        <v>60</v>
      </c>
      <c r="H15" s="42" t="s">
        <v>122</v>
      </c>
      <c r="I15" s="42" t="s">
        <v>123</v>
      </c>
      <c r="J15" s="42" t="s">
        <v>63</v>
      </c>
      <c r="K15" s="42"/>
      <c r="L15" s="58"/>
    </row>
    <row r="16" spans="1:12" ht="42" x14ac:dyDescent="0.2">
      <c r="A16" s="56">
        <v>14</v>
      </c>
      <c r="B16" s="57" t="str">
        <f t="shared" si="0"/>
        <v>Mục 1 · 제1절 (Quy định chung)</v>
      </c>
      <c r="C16" s="42" t="s">
        <v>124</v>
      </c>
      <c r="D16" s="42" t="s">
        <v>125</v>
      </c>
      <c r="E16" s="44" t="s">
        <v>112</v>
      </c>
      <c r="F16" s="45" t="s">
        <v>84</v>
      </c>
      <c r="G16" s="41" t="s">
        <v>60</v>
      </c>
      <c r="H16" s="42" t="s">
        <v>126</v>
      </c>
      <c r="I16" s="42" t="s">
        <v>127</v>
      </c>
      <c r="J16" s="42" t="s">
        <v>76</v>
      </c>
      <c r="K16" s="42"/>
      <c r="L16" s="58"/>
    </row>
    <row r="17" spans="1:12" ht="42" hidden="1" x14ac:dyDescent="0.2">
      <c r="A17" s="56">
        <v>15</v>
      </c>
      <c r="B17" s="57" t="str">
        <f t="shared" si="0"/>
        <v>Mục 1 · 제1절 (Quy định chung)</v>
      </c>
      <c r="C17" s="42" t="s">
        <v>128</v>
      </c>
      <c r="D17" s="42" t="s">
        <v>129</v>
      </c>
      <c r="E17" s="44" t="s">
        <v>112</v>
      </c>
      <c r="F17" s="45" t="s">
        <v>130</v>
      </c>
      <c r="G17" s="43" t="s">
        <v>66</v>
      </c>
      <c r="H17" s="42" t="s">
        <v>131</v>
      </c>
      <c r="I17" s="42" t="s">
        <v>132</v>
      </c>
      <c r="J17" s="42" t="s">
        <v>63</v>
      </c>
      <c r="K17" s="42"/>
      <c r="L17" s="58"/>
    </row>
    <row r="18" spans="1:12" ht="28" hidden="1" x14ac:dyDescent="0.2">
      <c r="A18" s="56">
        <v>16</v>
      </c>
      <c r="B18" s="57" t="str">
        <f t="shared" si="0"/>
        <v>Mục 1 · 제1절 (Quy định chung)</v>
      </c>
      <c r="C18" s="42" t="s">
        <v>133</v>
      </c>
      <c r="D18" s="42" t="s">
        <v>134</v>
      </c>
      <c r="E18" s="44" t="s">
        <v>112</v>
      </c>
      <c r="F18" s="45" t="s">
        <v>89</v>
      </c>
      <c r="G18" s="43" t="s">
        <v>66</v>
      </c>
      <c r="H18" s="42" t="s">
        <v>135</v>
      </c>
      <c r="I18" s="42" t="s">
        <v>136</v>
      </c>
      <c r="J18" s="42" t="s">
        <v>63</v>
      </c>
      <c r="K18" s="42"/>
      <c r="L18" s="58"/>
    </row>
    <row r="19" spans="1:12" ht="28" hidden="1" x14ac:dyDescent="0.2">
      <c r="A19" s="56">
        <v>17</v>
      </c>
      <c r="B19" s="57" t="str">
        <f t="shared" si="0"/>
        <v>Mục 2 · 제2절 (API)</v>
      </c>
      <c r="C19" s="42" t="s">
        <v>137</v>
      </c>
      <c r="D19" s="42" t="s">
        <v>138</v>
      </c>
      <c r="E19" s="44" t="s">
        <v>139</v>
      </c>
      <c r="F19" s="45" t="s">
        <v>84</v>
      </c>
      <c r="G19" s="41" t="s">
        <v>60</v>
      </c>
      <c r="H19" s="42" t="s">
        <v>140</v>
      </c>
      <c r="I19" s="42" t="s">
        <v>141</v>
      </c>
      <c r="J19" s="42" t="s">
        <v>142</v>
      </c>
      <c r="K19" s="42"/>
      <c r="L19" s="58"/>
    </row>
    <row r="20" spans="1:12" ht="28" hidden="1" x14ac:dyDescent="0.2">
      <c r="A20" s="56">
        <v>18</v>
      </c>
      <c r="B20" s="57" t="str">
        <f t="shared" si="0"/>
        <v>Mục 2 · 제2절 (API)</v>
      </c>
      <c r="C20" s="42" t="s">
        <v>143</v>
      </c>
      <c r="D20" s="42" t="s">
        <v>144</v>
      </c>
      <c r="E20" s="44" t="s">
        <v>139</v>
      </c>
      <c r="F20" s="45" t="s">
        <v>89</v>
      </c>
      <c r="G20" s="43" t="s">
        <v>66</v>
      </c>
      <c r="H20" s="42" t="s">
        <v>145</v>
      </c>
      <c r="I20" s="42" t="s">
        <v>146</v>
      </c>
      <c r="J20" s="42" t="s">
        <v>142</v>
      </c>
      <c r="K20" s="42"/>
      <c r="L20" s="58"/>
    </row>
    <row r="21" spans="1:12" ht="42" hidden="1" x14ac:dyDescent="0.2">
      <c r="A21" s="56">
        <v>19</v>
      </c>
      <c r="B21" s="57" t="str">
        <f t="shared" si="0"/>
        <v>Mục 2 · 제2절 (API)</v>
      </c>
      <c r="C21" s="42" t="s">
        <v>147</v>
      </c>
      <c r="D21" s="42" t="s">
        <v>148</v>
      </c>
      <c r="E21" s="44" t="s">
        <v>139</v>
      </c>
      <c r="F21" s="45" t="s">
        <v>89</v>
      </c>
      <c r="G21" s="43" t="s">
        <v>66</v>
      </c>
      <c r="H21" s="42" t="s">
        <v>149</v>
      </c>
      <c r="I21" s="42" t="s">
        <v>150</v>
      </c>
      <c r="J21" s="42" t="s">
        <v>142</v>
      </c>
      <c r="K21" s="42"/>
      <c r="L21" s="58"/>
    </row>
    <row r="22" spans="1:12" ht="70" hidden="1" x14ac:dyDescent="0.2">
      <c r="A22" s="56">
        <v>20</v>
      </c>
      <c r="B22" s="57" t="str">
        <f t="shared" si="0"/>
        <v>Mục 2 · 제2절 (API)</v>
      </c>
      <c r="C22" s="42" t="s">
        <v>151</v>
      </c>
      <c r="D22" s="42" t="s">
        <v>152</v>
      </c>
      <c r="E22" s="44" t="s">
        <v>139</v>
      </c>
      <c r="F22" s="45" t="s">
        <v>89</v>
      </c>
      <c r="G22" s="43" t="s">
        <v>66</v>
      </c>
      <c r="H22" s="42" t="s">
        <v>153</v>
      </c>
      <c r="I22" s="42" t="s">
        <v>154</v>
      </c>
      <c r="J22" s="42" t="s">
        <v>155</v>
      </c>
      <c r="K22" s="42"/>
      <c r="L22" s="58"/>
    </row>
    <row r="23" spans="1:12" ht="70" hidden="1" x14ac:dyDescent="0.2">
      <c r="A23" s="56">
        <v>21</v>
      </c>
      <c r="B23" s="57" t="str">
        <f t="shared" si="0"/>
        <v>Mục 2 · 제2절 (API)</v>
      </c>
      <c r="C23" s="42" t="s">
        <v>156</v>
      </c>
      <c r="D23" s="42" t="s">
        <v>157</v>
      </c>
      <c r="E23" s="44" t="s">
        <v>139</v>
      </c>
      <c r="F23" s="45" t="s">
        <v>89</v>
      </c>
      <c r="G23" s="43" t="s">
        <v>66</v>
      </c>
      <c r="H23" s="42" t="s">
        <v>158</v>
      </c>
      <c r="I23" s="42" t="s">
        <v>159</v>
      </c>
      <c r="J23" s="42" t="s">
        <v>142</v>
      </c>
      <c r="K23" s="42"/>
      <c r="L23" s="58"/>
    </row>
    <row r="24" spans="1:12" ht="28" hidden="1" x14ac:dyDescent="0.2">
      <c r="A24" s="56">
        <v>22</v>
      </c>
      <c r="B24" s="57" t="str">
        <f t="shared" si="0"/>
        <v>Mục 2 · 제2절 (API)</v>
      </c>
      <c r="C24" s="42" t="s">
        <v>160</v>
      </c>
      <c r="D24" s="42" t="s">
        <v>161</v>
      </c>
      <c r="E24" s="44" t="s">
        <v>162</v>
      </c>
      <c r="F24" s="45" t="s">
        <v>84</v>
      </c>
      <c r="G24" s="41" t="s">
        <v>60</v>
      </c>
      <c r="H24" s="42" t="s">
        <v>163</v>
      </c>
      <c r="I24" s="42" t="s">
        <v>164</v>
      </c>
      <c r="J24" s="42" t="s">
        <v>155</v>
      </c>
      <c r="K24" s="42"/>
      <c r="L24" s="58"/>
    </row>
    <row r="25" spans="1:12" ht="28" hidden="1" x14ac:dyDescent="0.2">
      <c r="A25" s="56">
        <v>23</v>
      </c>
      <c r="B25" s="57" t="str">
        <f t="shared" si="0"/>
        <v>Mục 2 · 제2절 (API)</v>
      </c>
      <c r="C25" s="42" t="s">
        <v>165</v>
      </c>
      <c r="D25" s="42" t="s">
        <v>166</v>
      </c>
      <c r="E25" s="44" t="s">
        <v>162</v>
      </c>
      <c r="F25" s="45" t="s">
        <v>84</v>
      </c>
      <c r="G25" s="41" t="s">
        <v>60</v>
      </c>
      <c r="H25" s="42" t="s">
        <v>167</v>
      </c>
      <c r="I25" s="42" t="s">
        <v>168</v>
      </c>
      <c r="J25" s="42" t="s">
        <v>142</v>
      </c>
      <c r="K25" s="42"/>
      <c r="L25" s="58"/>
    </row>
    <row r="26" spans="1:12" ht="42" hidden="1" x14ac:dyDescent="0.2">
      <c r="A26" s="56">
        <v>24</v>
      </c>
      <c r="B26" s="57" t="str">
        <f t="shared" si="0"/>
        <v>Mục 2 · 제2절 (API)</v>
      </c>
      <c r="C26" s="42" t="s">
        <v>169</v>
      </c>
      <c r="D26" s="42" t="s">
        <v>170</v>
      </c>
      <c r="E26" s="44" t="s">
        <v>162</v>
      </c>
      <c r="F26" s="45" t="s">
        <v>84</v>
      </c>
      <c r="G26" s="41" t="s">
        <v>60</v>
      </c>
      <c r="H26" s="42" t="s">
        <v>171</v>
      </c>
      <c r="I26" s="42" t="s">
        <v>172</v>
      </c>
      <c r="J26" s="42" t="s">
        <v>142</v>
      </c>
      <c r="K26" s="42"/>
      <c r="L26" s="58"/>
    </row>
    <row r="27" spans="1:12" ht="28" hidden="1" x14ac:dyDescent="0.2">
      <c r="A27" s="56">
        <v>25</v>
      </c>
      <c r="B27" s="57" t="str">
        <f t="shared" si="0"/>
        <v>Mục 2 · 제2절 (API)</v>
      </c>
      <c r="C27" s="42" t="s">
        <v>173</v>
      </c>
      <c r="D27" s="42" t="s">
        <v>174</v>
      </c>
      <c r="E27" s="44" t="s">
        <v>175</v>
      </c>
      <c r="F27" s="45" t="s">
        <v>84</v>
      </c>
      <c r="G27" s="41" t="s">
        <v>60</v>
      </c>
      <c r="H27" s="42" t="s">
        <v>176</v>
      </c>
      <c r="I27" s="42" t="s">
        <v>177</v>
      </c>
      <c r="J27" s="42" t="s">
        <v>63</v>
      </c>
      <c r="K27" s="42"/>
      <c r="L27" s="58"/>
    </row>
    <row r="28" spans="1:12" ht="28" hidden="1" x14ac:dyDescent="0.2">
      <c r="A28" s="56">
        <v>26</v>
      </c>
      <c r="B28" s="57" t="str">
        <f t="shared" si="0"/>
        <v>Mục 2 · 제2절 (API)</v>
      </c>
      <c r="C28" s="42" t="s">
        <v>178</v>
      </c>
      <c r="D28" s="42" t="s">
        <v>179</v>
      </c>
      <c r="E28" s="44" t="s">
        <v>175</v>
      </c>
      <c r="F28" s="45" t="s">
        <v>84</v>
      </c>
      <c r="G28" s="41" t="s">
        <v>60</v>
      </c>
      <c r="H28" s="42" t="s">
        <v>180</v>
      </c>
      <c r="I28" s="42" t="s">
        <v>181</v>
      </c>
      <c r="J28" s="42" t="s">
        <v>142</v>
      </c>
      <c r="K28" s="42"/>
      <c r="L28" s="58"/>
    </row>
    <row r="29" spans="1:12" ht="28" hidden="1" x14ac:dyDescent="0.2">
      <c r="A29" s="56">
        <v>27</v>
      </c>
      <c r="B29" s="57" t="str">
        <f t="shared" si="0"/>
        <v>Mục 2 · 제2절 (API)</v>
      </c>
      <c r="C29" s="42" t="s">
        <v>182</v>
      </c>
      <c r="D29" s="42" t="s">
        <v>183</v>
      </c>
      <c r="E29" s="44" t="s">
        <v>175</v>
      </c>
      <c r="F29" s="45" t="s">
        <v>84</v>
      </c>
      <c r="G29" s="41" t="s">
        <v>60</v>
      </c>
      <c r="H29" s="42" t="s">
        <v>184</v>
      </c>
      <c r="I29" s="42" t="s">
        <v>185</v>
      </c>
      <c r="J29" s="42" t="s">
        <v>142</v>
      </c>
      <c r="K29" s="42"/>
      <c r="L29" s="58"/>
    </row>
    <row r="30" spans="1:12" ht="28" hidden="1" x14ac:dyDescent="0.2">
      <c r="A30" s="56">
        <v>28</v>
      </c>
      <c r="B30" s="57" t="str">
        <f t="shared" si="0"/>
        <v>Mục 2 · 제2절 (API)</v>
      </c>
      <c r="C30" s="42" t="s">
        <v>186</v>
      </c>
      <c r="D30" s="42" t="s">
        <v>187</v>
      </c>
      <c r="E30" s="44" t="s">
        <v>175</v>
      </c>
      <c r="F30" s="45" t="s">
        <v>84</v>
      </c>
      <c r="G30" s="41" t="s">
        <v>60</v>
      </c>
      <c r="H30" s="42" t="s">
        <v>188</v>
      </c>
      <c r="I30" s="42" t="s">
        <v>189</v>
      </c>
      <c r="J30" s="42" t="s">
        <v>142</v>
      </c>
      <c r="K30" s="42"/>
      <c r="L30" s="58"/>
    </row>
    <row r="31" spans="1:12" ht="42" hidden="1" x14ac:dyDescent="0.2">
      <c r="A31" s="56">
        <v>29</v>
      </c>
      <c r="B31" s="57" t="str">
        <f t="shared" si="0"/>
        <v>Mục 2 · 제2절 (API)</v>
      </c>
      <c r="C31" s="42" t="s">
        <v>190</v>
      </c>
      <c r="D31" s="42" t="s">
        <v>191</v>
      </c>
      <c r="E31" s="44" t="s">
        <v>175</v>
      </c>
      <c r="F31" s="45" t="s">
        <v>84</v>
      </c>
      <c r="G31" s="41" t="s">
        <v>60</v>
      </c>
      <c r="H31" s="42" t="s">
        <v>192</v>
      </c>
      <c r="I31" s="42" t="s">
        <v>193</v>
      </c>
      <c r="J31" s="42" t="s">
        <v>63</v>
      </c>
      <c r="K31" s="42"/>
      <c r="L31" s="58"/>
    </row>
    <row r="32" spans="1:12" ht="42" hidden="1" x14ac:dyDescent="0.2">
      <c r="A32" s="56">
        <v>30</v>
      </c>
      <c r="B32" s="57" t="str">
        <f t="shared" si="0"/>
        <v>Mục 2 · 제2절 (API)</v>
      </c>
      <c r="C32" s="42" t="s">
        <v>194</v>
      </c>
      <c r="D32" s="42" t="s">
        <v>195</v>
      </c>
      <c r="E32" s="44" t="s">
        <v>196</v>
      </c>
      <c r="F32" s="45" t="s">
        <v>89</v>
      </c>
      <c r="G32" s="41" t="s">
        <v>60</v>
      </c>
      <c r="H32" s="42" t="s">
        <v>197</v>
      </c>
      <c r="I32" s="42" t="s">
        <v>198</v>
      </c>
      <c r="J32" s="42" t="s">
        <v>142</v>
      </c>
      <c r="K32" s="42"/>
      <c r="L32" s="58"/>
    </row>
    <row r="33" spans="1:12" ht="42" hidden="1" x14ac:dyDescent="0.2">
      <c r="A33" s="56">
        <v>31</v>
      </c>
      <c r="B33" s="57" t="str">
        <f t="shared" si="0"/>
        <v>Mục 3 · 제3절 (Hạ tầng)</v>
      </c>
      <c r="C33" s="42" t="s">
        <v>199</v>
      </c>
      <c r="D33" s="42" t="s">
        <v>200</v>
      </c>
      <c r="E33" s="44" t="s">
        <v>201</v>
      </c>
      <c r="F33" s="45" t="s">
        <v>59</v>
      </c>
      <c r="G33" s="43" t="s">
        <v>66</v>
      </c>
      <c r="H33" s="42" t="s">
        <v>202</v>
      </c>
      <c r="I33" s="42" t="s">
        <v>203</v>
      </c>
      <c r="J33" s="42" t="s">
        <v>204</v>
      </c>
      <c r="K33" s="42"/>
      <c r="L33" s="58"/>
    </row>
    <row r="34" spans="1:12" ht="28" hidden="1" x14ac:dyDescent="0.2">
      <c r="A34" s="56">
        <v>32</v>
      </c>
      <c r="B34" s="57" t="str">
        <f t="shared" si="0"/>
        <v>Mục 3 · 제3절 (Hạ tầng)</v>
      </c>
      <c r="C34" s="42" t="s">
        <v>205</v>
      </c>
      <c r="D34" s="42" t="s">
        <v>206</v>
      </c>
      <c r="E34" s="44" t="s">
        <v>201</v>
      </c>
      <c r="F34" s="45" t="s">
        <v>59</v>
      </c>
      <c r="G34" s="43" t="s">
        <v>66</v>
      </c>
      <c r="H34" s="42" t="s">
        <v>207</v>
      </c>
      <c r="I34" s="42" t="s">
        <v>208</v>
      </c>
      <c r="J34" s="42" t="s">
        <v>204</v>
      </c>
      <c r="K34" s="42"/>
      <c r="L34" s="58"/>
    </row>
    <row r="35" spans="1:12" ht="70" hidden="1" x14ac:dyDescent="0.2">
      <c r="A35" s="56">
        <v>33</v>
      </c>
      <c r="B35" s="57" t="str">
        <f t="shared" si="0"/>
        <v>Mục 3 · 제3절 (Hạ tầng)</v>
      </c>
      <c r="C35" s="42" t="s">
        <v>209</v>
      </c>
      <c r="D35" s="42" t="s">
        <v>210</v>
      </c>
      <c r="E35" s="44" t="s">
        <v>201</v>
      </c>
      <c r="F35" s="45" t="s">
        <v>84</v>
      </c>
      <c r="G35" s="41" t="s">
        <v>60</v>
      </c>
      <c r="H35" s="42" t="s">
        <v>211</v>
      </c>
      <c r="I35" s="42" t="s">
        <v>212</v>
      </c>
      <c r="J35" s="42" t="s">
        <v>204</v>
      </c>
      <c r="K35" s="42"/>
      <c r="L35" s="58"/>
    </row>
    <row r="36" spans="1:12" ht="28" hidden="1" x14ac:dyDescent="0.2">
      <c r="A36" s="56">
        <v>34</v>
      </c>
      <c r="B36" s="57" t="str">
        <f t="shared" si="0"/>
        <v>Mục 3 · 제3절 (Hạ tầng)</v>
      </c>
      <c r="C36" s="42" t="s">
        <v>213</v>
      </c>
      <c r="D36" s="42" t="s">
        <v>214</v>
      </c>
      <c r="E36" s="44" t="s">
        <v>215</v>
      </c>
      <c r="F36" s="45" t="s">
        <v>84</v>
      </c>
      <c r="G36" s="41" t="s">
        <v>60</v>
      </c>
      <c r="H36" s="42" t="s">
        <v>216</v>
      </c>
      <c r="I36" s="42" t="s">
        <v>217</v>
      </c>
      <c r="J36" s="42" t="s">
        <v>204</v>
      </c>
      <c r="K36" s="42"/>
      <c r="L36" s="58"/>
    </row>
    <row r="37" spans="1:12" ht="70" x14ac:dyDescent="0.2">
      <c r="A37" s="56">
        <v>35</v>
      </c>
      <c r="B37" s="57" t="str">
        <f t="shared" si="0"/>
        <v>Mục 3 · 제3절 (Hạ tầng)</v>
      </c>
      <c r="C37" s="42" t="s">
        <v>218</v>
      </c>
      <c r="D37" s="42" t="s">
        <v>219</v>
      </c>
      <c r="E37" s="44" t="s">
        <v>215</v>
      </c>
      <c r="F37" s="45" t="s">
        <v>84</v>
      </c>
      <c r="G37" s="41" t="s">
        <v>60</v>
      </c>
      <c r="H37" s="42" t="s">
        <v>220</v>
      </c>
      <c r="I37" s="42" t="s">
        <v>221</v>
      </c>
      <c r="J37" s="42" t="s">
        <v>76</v>
      </c>
      <c r="K37" s="42"/>
      <c r="L37" s="58"/>
    </row>
    <row r="38" spans="1:12" ht="56" x14ac:dyDescent="0.2">
      <c r="A38" s="56">
        <v>36</v>
      </c>
      <c r="B38" s="57" t="str">
        <f t="shared" si="0"/>
        <v>Mục 3 · 제3절 (Hạ tầng)</v>
      </c>
      <c r="C38" s="42" t="s">
        <v>222</v>
      </c>
      <c r="D38" s="42" t="s">
        <v>223</v>
      </c>
      <c r="E38" s="44" t="s">
        <v>215</v>
      </c>
      <c r="F38" s="45" t="s">
        <v>84</v>
      </c>
      <c r="G38" s="41" t="s">
        <v>60</v>
      </c>
      <c r="H38" s="42" t="s">
        <v>224</v>
      </c>
      <c r="I38" s="42" t="s">
        <v>225</v>
      </c>
      <c r="J38" s="42" t="s">
        <v>76</v>
      </c>
      <c r="K38" s="42"/>
      <c r="L38" s="58"/>
    </row>
    <row r="39" spans="1:12" ht="56" hidden="1" x14ac:dyDescent="0.2">
      <c r="A39" s="56">
        <v>37</v>
      </c>
      <c r="B39" s="57" t="str">
        <f t="shared" si="0"/>
        <v>Mục 3 · 제3절 (Hạ tầng)</v>
      </c>
      <c r="C39" s="42" t="s">
        <v>226</v>
      </c>
      <c r="D39" s="42" t="s">
        <v>227</v>
      </c>
      <c r="E39" s="44" t="s">
        <v>228</v>
      </c>
      <c r="F39" s="45" t="s">
        <v>59</v>
      </c>
      <c r="G39" s="41" t="s">
        <v>60</v>
      </c>
      <c r="H39" s="42" t="s">
        <v>229</v>
      </c>
      <c r="I39" s="42" t="s">
        <v>230</v>
      </c>
      <c r="J39" s="42" t="s">
        <v>204</v>
      </c>
      <c r="K39" s="42"/>
      <c r="L39" s="58"/>
    </row>
    <row r="40" spans="1:12" ht="42" hidden="1" x14ac:dyDescent="0.2">
      <c r="A40" s="56">
        <v>38</v>
      </c>
      <c r="B40" s="57" t="str">
        <f t="shared" si="0"/>
        <v>Mục 3 · 제3절 (Hạ tầng)</v>
      </c>
      <c r="C40" s="42" t="s">
        <v>231</v>
      </c>
      <c r="D40" s="42" t="s">
        <v>232</v>
      </c>
      <c r="E40" s="44" t="s">
        <v>233</v>
      </c>
      <c r="F40" s="45" t="s">
        <v>59</v>
      </c>
      <c r="G40" s="41" t="s">
        <v>60</v>
      </c>
      <c r="H40" s="42" t="s">
        <v>234</v>
      </c>
      <c r="I40" s="42" t="s">
        <v>235</v>
      </c>
      <c r="J40" s="42" t="s">
        <v>204</v>
      </c>
      <c r="K40" s="42"/>
      <c r="L40" s="58"/>
    </row>
    <row r="41" spans="1:12" ht="42" hidden="1" x14ac:dyDescent="0.2">
      <c r="A41" s="56">
        <v>39</v>
      </c>
      <c r="B41" s="57" t="str">
        <f t="shared" si="0"/>
        <v>Mục 3 · 제3절 (Hạ tầng)</v>
      </c>
      <c r="C41" s="42" t="s">
        <v>236</v>
      </c>
      <c r="D41" s="42" t="s">
        <v>237</v>
      </c>
      <c r="E41" s="44" t="s">
        <v>233</v>
      </c>
      <c r="F41" s="45" t="s">
        <v>84</v>
      </c>
      <c r="G41" s="41" t="s">
        <v>60</v>
      </c>
      <c r="H41" s="42" t="s">
        <v>238</v>
      </c>
      <c r="I41" s="42" t="s">
        <v>239</v>
      </c>
      <c r="J41" s="42" t="s">
        <v>204</v>
      </c>
      <c r="K41" s="42"/>
      <c r="L41" s="58"/>
    </row>
    <row r="42" spans="1:12" ht="28" x14ac:dyDescent="0.2">
      <c r="A42" s="56">
        <v>40</v>
      </c>
      <c r="B42" s="57" t="str">
        <f t="shared" si="0"/>
        <v>Mục 3 · 제3절 (Hạ tầng)</v>
      </c>
      <c r="C42" s="42" t="s">
        <v>240</v>
      </c>
      <c r="D42" s="42" t="s">
        <v>241</v>
      </c>
      <c r="E42" s="44" t="s">
        <v>233</v>
      </c>
      <c r="F42" s="45" t="s">
        <v>84</v>
      </c>
      <c r="G42" s="41" t="s">
        <v>60</v>
      </c>
      <c r="H42" s="42" t="s">
        <v>242</v>
      </c>
      <c r="I42" s="42" t="s">
        <v>243</v>
      </c>
      <c r="J42" s="42" t="s">
        <v>76</v>
      </c>
      <c r="K42" s="42"/>
      <c r="L42" s="58"/>
    </row>
    <row r="43" spans="1:12" ht="42" hidden="1" x14ac:dyDescent="0.2">
      <c r="A43" s="56">
        <v>41</v>
      </c>
      <c r="B43" s="57" t="str">
        <f t="shared" si="0"/>
        <v>Mục 3 · 제3절 (Hạ tầng)</v>
      </c>
      <c r="C43" s="42" t="s">
        <v>244</v>
      </c>
      <c r="D43" s="42" t="s">
        <v>245</v>
      </c>
      <c r="E43" s="44" t="s">
        <v>233</v>
      </c>
      <c r="F43" s="45" t="s">
        <v>84</v>
      </c>
      <c r="G43" s="41" t="s">
        <v>60</v>
      </c>
      <c r="H43" s="42" t="s">
        <v>246</v>
      </c>
      <c r="I43" s="42" t="s">
        <v>247</v>
      </c>
      <c r="J43" s="42" t="s">
        <v>204</v>
      </c>
      <c r="K43" s="42"/>
      <c r="L43" s="58"/>
    </row>
    <row r="44" spans="1:12" ht="28" hidden="1" x14ac:dyDescent="0.2">
      <c r="A44" s="56">
        <v>42</v>
      </c>
      <c r="B44" s="57" t="str">
        <f t="shared" si="0"/>
        <v>Mục 3 · 제3절 (Hạ tầng)</v>
      </c>
      <c r="C44" s="42" t="s">
        <v>248</v>
      </c>
      <c r="D44" s="42" t="s">
        <v>249</v>
      </c>
      <c r="E44" s="44" t="s">
        <v>250</v>
      </c>
      <c r="F44" s="45" t="s">
        <v>59</v>
      </c>
      <c r="G44" s="41" t="s">
        <v>60</v>
      </c>
      <c r="H44" s="42" t="s">
        <v>251</v>
      </c>
      <c r="I44" s="42" t="s">
        <v>252</v>
      </c>
      <c r="J44" s="42" t="s">
        <v>204</v>
      </c>
      <c r="K44" s="42"/>
      <c r="L44" s="58"/>
    </row>
    <row r="45" spans="1:12" ht="28" hidden="1" x14ac:dyDescent="0.2">
      <c r="A45" s="56">
        <v>43</v>
      </c>
      <c r="B45" s="57" t="str">
        <f t="shared" si="0"/>
        <v>Mục 3 · 제3절 (Hạ tầng)</v>
      </c>
      <c r="C45" s="42" t="s">
        <v>253</v>
      </c>
      <c r="D45" s="42" t="s">
        <v>254</v>
      </c>
      <c r="E45" s="44" t="s">
        <v>250</v>
      </c>
      <c r="F45" s="45" t="s">
        <v>84</v>
      </c>
      <c r="G45" s="41" t="s">
        <v>60</v>
      </c>
      <c r="H45" s="42" t="s">
        <v>255</v>
      </c>
      <c r="I45" s="42" t="s">
        <v>256</v>
      </c>
      <c r="J45" s="42" t="s">
        <v>155</v>
      </c>
      <c r="K45" s="42"/>
      <c r="L45" s="58"/>
    </row>
    <row r="46" spans="1:12" ht="42" hidden="1" x14ac:dyDescent="0.2">
      <c r="A46" s="56">
        <v>44</v>
      </c>
      <c r="B46" s="57" t="str">
        <f t="shared" si="0"/>
        <v>Mục 3 · 제3절 (Hạ tầng)</v>
      </c>
      <c r="C46" s="42" t="s">
        <v>257</v>
      </c>
      <c r="D46" s="42" t="s">
        <v>258</v>
      </c>
      <c r="E46" s="44" t="s">
        <v>259</v>
      </c>
      <c r="F46" s="45" t="s">
        <v>84</v>
      </c>
      <c r="G46" s="41" t="s">
        <v>60</v>
      </c>
      <c r="H46" s="42" t="s">
        <v>260</v>
      </c>
      <c r="I46" s="42" t="s">
        <v>261</v>
      </c>
      <c r="J46" s="42" t="s">
        <v>63</v>
      </c>
      <c r="K46" s="42"/>
      <c r="L46" s="58"/>
    </row>
    <row r="47" spans="1:12" ht="29" hidden="1" thickBot="1" x14ac:dyDescent="0.25">
      <c r="A47" s="59">
        <v>45</v>
      </c>
      <c r="B47" s="60" t="str">
        <f t="shared" si="0"/>
        <v>Mục 3 · 제3절 (Hạ tầng)</v>
      </c>
      <c r="C47" s="47" t="s">
        <v>262</v>
      </c>
      <c r="D47" s="47" t="s">
        <v>263</v>
      </c>
      <c r="E47" s="61" t="s">
        <v>259</v>
      </c>
      <c r="F47" s="62" t="s">
        <v>84</v>
      </c>
      <c r="G47" s="46" t="s">
        <v>60</v>
      </c>
      <c r="H47" s="47" t="s">
        <v>264</v>
      </c>
      <c r="I47" s="47" t="s">
        <v>265</v>
      </c>
      <c r="J47" s="47" t="s">
        <v>142</v>
      </c>
      <c r="K47" s="47"/>
      <c r="L47" s="63"/>
    </row>
  </sheetData>
  <autoFilter ref="A2:L47" xr:uid="{00000000-0001-0000-0200-000000000000}">
    <filterColumn colId="9">
      <filters>
        <filter val="Mr Đức"/>
        <filter val="Ms Nhung, Mr Văn, Mr Đức"/>
      </filters>
    </filterColumn>
  </autoFilter>
  <mergeCells count="1">
    <mergeCell ref="A1:L1"/>
  </mergeCells>
  <pageMargins left="0.3" right="0.3" top="0.4" bottom="0.4" header="0.5" footer="0.5"/>
  <pageSetup fitToHeight="0" orientation="landscape"/>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79998168889431442"/>
    <pageSetUpPr fitToPage="1"/>
  </sheetPr>
  <dimension ref="A1:J66"/>
  <sheetViews>
    <sheetView showGridLines="0" zoomScaleNormal="100" workbookViewId="0">
      <pane xSplit="3" ySplit="2" topLeftCell="D3" activePane="bottomRight" state="frozen"/>
      <selection pane="topRight" activeCell="D1" sqref="D1"/>
      <selection pane="bottomLeft" activeCell="A3" sqref="A3"/>
      <selection pane="bottomRight" activeCell="C4" sqref="C4"/>
    </sheetView>
  </sheetViews>
  <sheetFormatPr baseColWidth="10" defaultColWidth="8.83203125" defaultRowHeight="15" x14ac:dyDescent="0.2"/>
  <cols>
    <col min="1" max="1" width="5" customWidth="1"/>
    <col min="2" max="2" width="17.5" bestFit="1" customWidth="1"/>
    <col min="3" max="3" width="14.1640625" bestFit="1" customWidth="1"/>
    <col min="4" max="4" width="40.33203125" customWidth="1"/>
    <col min="5" max="5" width="2.1640625" hidden="1" customWidth="1"/>
    <col min="6" max="7" width="15" customWidth="1"/>
    <col min="8" max="8" width="61.83203125" customWidth="1"/>
    <col min="9" max="9" width="18" customWidth="1"/>
    <col min="10" max="10" width="34.33203125" style="15" customWidth="1"/>
  </cols>
  <sheetData>
    <row r="1" spans="1:10" ht="24" customHeight="1" x14ac:dyDescent="0.2">
      <c r="A1" s="104" t="s">
        <v>266</v>
      </c>
      <c r="B1" s="104"/>
      <c r="C1" s="104"/>
      <c r="D1" s="104"/>
      <c r="E1" s="104"/>
      <c r="F1" s="104"/>
      <c r="G1" s="104"/>
      <c r="H1" s="104"/>
      <c r="I1" s="104"/>
      <c r="J1" s="104"/>
    </row>
    <row r="2" spans="1:10" ht="30" customHeight="1" x14ac:dyDescent="0.2">
      <c r="A2" s="22" t="s">
        <v>267</v>
      </c>
      <c r="B2" s="22" t="s">
        <v>268</v>
      </c>
      <c r="C2" s="22" t="s">
        <v>269</v>
      </c>
      <c r="D2" s="22" t="s">
        <v>270</v>
      </c>
      <c r="E2" s="22" t="s">
        <v>271</v>
      </c>
      <c r="F2" s="22" t="s">
        <v>49</v>
      </c>
      <c r="G2" s="22" t="s">
        <v>272</v>
      </c>
      <c r="H2" s="22" t="s">
        <v>273</v>
      </c>
      <c r="I2" s="22" t="s">
        <v>274</v>
      </c>
      <c r="J2" s="64" t="s">
        <v>275</v>
      </c>
    </row>
    <row r="3" spans="1:10" s="1" customFormat="1" ht="231.25" customHeight="1" x14ac:dyDescent="0.2">
      <c r="A3" s="3">
        <v>1</v>
      </c>
      <c r="B3" s="4" t="s">
        <v>276</v>
      </c>
      <c r="C3" s="4" t="s">
        <v>58</v>
      </c>
      <c r="D3" s="5" t="s">
        <v>56</v>
      </c>
      <c r="E3" s="5" t="s">
        <v>57</v>
      </c>
      <c r="F3" s="6" t="s">
        <v>59</v>
      </c>
      <c r="G3" s="6" t="s">
        <v>277</v>
      </c>
      <c r="H3" s="7" t="s">
        <v>278</v>
      </c>
      <c r="I3" s="4" t="s">
        <v>279</v>
      </c>
      <c r="J3" s="13" t="s">
        <v>280</v>
      </c>
    </row>
    <row r="4" spans="1:10" s="1" customFormat="1" ht="229.75" customHeight="1" x14ac:dyDescent="0.2">
      <c r="A4" s="3">
        <v>2</v>
      </c>
      <c r="B4" s="4" t="s">
        <v>276</v>
      </c>
      <c r="C4" s="4" t="s">
        <v>58</v>
      </c>
      <c r="D4" s="5" t="s">
        <v>64</v>
      </c>
      <c r="E4" s="5" t="s">
        <v>65</v>
      </c>
      <c r="F4" s="6" t="s">
        <v>59</v>
      </c>
      <c r="G4" s="6" t="s">
        <v>281</v>
      </c>
      <c r="H4" s="7" t="s">
        <v>282</v>
      </c>
      <c r="I4" s="4" t="s">
        <v>279</v>
      </c>
      <c r="J4" s="13"/>
    </row>
    <row r="5" spans="1:10" s="1" customFormat="1" ht="112.75" customHeight="1" x14ac:dyDescent="0.2">
      <c r="A5" s="3">
        <v>3</v>
      </c>
      <c r="B5" s="4" t="s">
        <v>276</v>
      </c>
      <c r="C5" s="4" t="s">
        <v>58</v>
      </c>
      <c r="D5" s="5" t="s">
        <v>283</v>
      </c>
      <c r="E5" s="5" t="s">
        <v>284</v>
      </c>
      <c r="F5" s="6" t="s">
        <v>59</v>
      </c>
      <c r="G5" s="6" t="s">
        <v>277</v>
      </c>
      <c r="H5" s="7" t="s">
        <v>285</v>
      </c>
      <c r="I5" s="4" t="s">
        <v>279</v>
      </c>
      <c r="J5" s="13" t="s">
        <v>286</v>
      </c>
    </row>
    <row r="6" spans="1:10" s="1" customFormat="1" ht="229.5" customHeight="1" x14ac:dyDescent="0.2">
      <c r="A6" s="3">
        <v>4</v>
      </c>
      <c r="B6" s="4" t="s">
        <v>276</v>
      </c>
      <c r="C6" s="4" t="s">
        <v>58</v>
      </c>
      <c r="D6" s="5" t="s">
        <v>77</v>
      </c>
      <c r="E6" s="5" t="s">
        <v>78</v>
      </c>
      <c r="F6" s="6" t="s">
        <v>59</v>
      </c>
      <c r="G6" s="6" t="s">
        <v>277</v>
      </c>
      <c r="H6" s="7" t="s">
        <v>287</v>
      </c>
      <c r="I6" s="4" t="s">
        <v>279</v>
      </c>
      <c r="J6" s="13" t="s">
        <v>288</v>
      </c>
    </row>
    <row r="7" spans="1:10" s="1" customFormat="1" ht="409.6" x14ac:dyDescent="0.2">
      <c r="A7" s="3">
        <v>5</v>
      </c>
      <c r="B7" s="4" t="s">
        <v>276</v>
      </c>
      <c r="C7" s="4" t="s">
        <v>58</v>
      </c>
      <c r="D7" s="5" t="s">
        <v>289</v>
      </c>
      <c r="E7" s="5" t="s">
        <v>290</v>
      </c>
      <c r="F7" s="6" t="s">
        <v>59</v>
      </c>
      <c r="G7" s="6" t="s">
        <v>291</v>
      </c>
      <c r="H7" s="7" t="s">
        <v>292</v>
      </c>
      <c r="I7" s="4" t="s">
        <v>279</v>
      </c>
      <c r="J7" s="13" t="s">
        <v>293</v>
      </c>
    </row>
    <row r="8" spans="1:10" s="1" customFormat="1" ht="48.25" customHeight="1" x14ac:dyDescent="0.2">
      <c r="A8" s="3">
        <v>6</v>
      </c>
      <c r="B8" s="4" t="s">
        <v>276</v>
      </c>
      <c r="C8" s="4" t="s">
        <v>58</v>
      </c>
      <c r="D8" s="5" t="s">
        <v>294</v>
      </c>
      <c r="E8" s="5" t="s">
        <v>295</v>
      </c>
      <c r="F8" s="6" t="s">
        <v>59</v>
      </c>
      <c r="G8" s="6" t="s">
        <v>291</v>
      </c>
      <c r="H8" s="7" t="s">
        <v>296</v>
      </c>
      <c r="I8" s="4" t="s">
        <v>279</v>
      </c>
      <c r="J8" s="13" t="s">
        <v>297</v>
      </c>
    </row>
    <row r="9" spans="1:10" s="1" customFormat="1" ht="67" customHeight="1" x14ac:dyDescent="0.2">
      <c r="A9" s="3">
        <v>7</v>
      </c>
      <c r="B9" s="4" t="s">
        <v>276</v>
      </c>
      <c r="C9" s="4" t="s">
        <v>83</v>
      </c>
      <c r="D9" s="5" t="s">
        <v>81</v>
      </c>
      <c r="E9" s="5" t="s">
        <v>82</v>
      </c>
      <c r="F9" s="6" t="s">
        <v>84</v>
      </c>
      <c r="G9" s="6" t="s">
        <v>277</v>
      </c>
      <c r="H9" s="7" t="s">
        <v>298</v>
      </c>
      <c r="I9" s="4" t="s">
        <v>279</v>
      </c>
      <c r="J9" s="13" t="s">
        <v>299</v>
      </c>
    </row>
    <row r="10" spans="1:10" s="1" customFormat="1" ht="63.5" customHeight="1" x14ac:dyDescent="0.2">
      <c r="A10" s="3">
        <v>8</v>
      </c>
      <c r="B10" s="4" t="s">
        <v>276</v>
      </c>
      <c r="C10" s="4" t="s">
        <v>83</v>
      </c>
      <c r="D10" s="5" t="s">
        <v>300</v>
      </c>
      <c r="E10" s="5" t="s">
        <v>301</v>
      </c>
      <c r="F10" s="6" t="s">
        <v>59</v>
      </c>
      <c r="G10" s="6" t="s">
        <v>291</v>
      </c>
      <c r="H10" s="7"/>
      <c r="I10" s="4" t="s">
        <v>279</v>
      </c>
      <c r="J10" s="13"/>
    </row>
    <row r="11" spans="1:10" s="1" customFormat="1" ht="70.75" customHeight="1" x14ac:dyDescent="0.2">
      <c r="A11" s="3">
        <v>9</v>
      </c>
      <c r="B11" s="4" t="s">
        <v>276</v>
      </c>
      <c r="C11" s="4" t="s">
        <v>83</v>
      </c>
      <c r="D11" s="5" t="s">
        <v>302</v>
      </c>
      <c r="E11" s="5" t="s">
        <v>303</v>
      </c>
      <c r="F11" s="6" t="s">
        <v>59</v>
      </c>
      <c r="G11" s="6" t="s">
        <v>291</v>
      </c>
      <c r="H11" s="7" t="s">
        <v>304</v>
      </c>
      <c r="I11" s="4" t="s">
        <v>279</v>
      </c>
      <c r="J11" s="13"/>
    </row>
    <row r="12" spans="1:10" s="1" customFormat="1" ht="409.6" x14ac:dyDescent="0.2">
      <c r="A12" s="3">
        <v>10</v>
      </c>
      <c r="B12" s="4" t="s">
        <v>276</v>
      </c>
      <c r="C12" s="4" t="s">
        <v>83</v>
      </c>
      <c r="D12" s="5" t="s">
        <v>87</v>
      </c>
      <c r="E12" s="5" t="s">
        <v>88</v>
      </c>
      <c r="F12" s="6" t="s">
        <v>89</v>
      </c>
      <c r="G12" s="6" t="s">
        <v>277</v>
      </c>
      <c r="H12" s="7" t="s">
        <v>305</v>
      </c>
      <c r="I12" s="4" t="s">
        <v>279</v>
      </c>
      <c r="J12" s="13"/>
    </row>
    <row r="13" spans="1:10" s="1" customFormat="1" ht="409.6" x14ac:dyDescent="0.2">
      <c r="A13" s="3">
        <v>11</v>
      </c>
      <c r="B13" s="4" t="s">
        <v>276</v>
      </c>
      <c r="C13" s="4" t="s">
        <v>95</v>
      </c>
      <c r="D13" s="5" t="s">
        <v>306</v>
      </c>
      <c r="E13" s="5" t="s">
        <v>307</v>
      </c>
      <c r="F13" s="6" t="s">
        <v>84</v>
      </c>
      <c r="G13" s="6" t="s">
        <v>277</v>
      </c>
      <c r="H13" s="7" t="s">
        <v>308</v>
      </c>
      <c r="I13" s="4" t="s">
        <v>279</v>
      </c>
      <c r="J13" s="13"/>
    </row>
    <row r="14" spans="1:10" s="1" customFormat="1" ht="73.5" customHeight="1" x14ac:dyDescent="0.2">
      <c r="A14" s="3">
        <v>12</v>
      </c>
      <c r="B14" s="4" t="s">
        <v>276</v>
      </c>
      <c r="C14" s="4" t="s">
        <v>95</v>
      </c>
      <c r="D14" s="5" t="s">
        <v>309</v>
      </c>
      <c r="E14" s="5" t="s">
        <v>99</v>
      </c>
      <c r="F14" s="6" t="s">
        <v>89</v>
      </c>
      <c r="G14" s="6" t="s">
        <v>281</v>
      </c>
      <c r="H14" s="7" t="s">
        <v>310</v>
      </c>
      <c r="I14" s="4" t="s">
        <v>279</v>
      </c>
      <c r="J14" s="13" t="s">
        <v>311</v>
      </c>
    </row>
    <row r="15" spans="1:10" s="1" customFormat="1" ht="409.5" customHeight="1" x14ac:dyDescent="0.2">
      <c r="A15" s="3">
        <v>13</v>
      </c>
      <c r="B15" s="4" t="s">
        <v>276</v>
      </c>
      <c r="C15" s="4" t="s">
        <v>95</v>
      </c>
      <c r="D15" s="5" t="s">
        <v>312</v>
      </c>
      <c r="E15" s="5" t="s">
        <v>313</v>
      </c>
      <c r="F15" s="6" t="s">
        <v>89</v>
      </c>
      <c r="G15" s="6" t="s">
        <v>281</v>
      </c>
      <c r="H15" s="7" t="s">
        <v>314</v>
      </c>
      <c r="I15" s="4" t="s">
        <v>279</v>
      </c>
      <c r="J15" s="13"/>
    </row>
    <row r="16" spans="1:10" s="1" customFormat="1" ht="104.5" customHeight="1" x14ac:dyDescent="0.2">
      <c r="A16" s="3">
        <v>14</v>
      </c>
      <c r="B16" s="4" t="s">
        <v>276</v>
      </c>
      <c r="C16" s="4" t="s">
        <v>95</v>
      </c>
      <c r="D16" s="5" t="s">
        <v>315</v>
      </c>
      <c r="E16" s="5" t="s">
        <v>316</v>
      </c>
      <c r="F16" s="6" t="s">
        <v>130</v>
      </c>
      <c r="G16" s="6" t="s">
        <v>291</v>
      </c>
      <c r="H16" s="7" t="s">
        <v>317</v>
      </c>
      <c r="I16" s="4" t="s">
        <v>279</v>
      </c>
      <c r="J16" s="13"/>
    </row>
    <row r="17" spans="1:10" s="1" customFormat="1" ht="158" customHeight="1" x14ac:dyDescent="0.2">
      <c r="A17" s="3">
        <v>15</v>
      </c>
      <c r="B17" s="4" t="s">
        <v>276</v>
      </c>
      <c r="C17" s="4" t="s">
        <v>95</v>
      </c>
      <c r="D17" s="5" t="s">
        <v>318</v>
      </c>
      <c r="E17" s="5" t="s">
        <v>319</v>
      </c>
      <c r="F17" s="6" t="s">
        <v>130</v>
      </c>
      <c r="G17" s="6" t="s">
        <v>291</v>
      </c>
      <c r="H17" s="7"/>
      <c r="I17" s="4" t="s">
        <v>279</v>
      </c>
      <c r="J17" s="13"/>
    </row>
    <row r="18" spans="1:10" s="1" customFormat="1" ht="409.6" x14ac:dyDescent="0.2">
      <c r="A18" s="3">
        <v>16</v>
      </c>
      <c r="B18" s="4" t="s">
        <v>276</v>
      </c>
      <c r="C18" s="4" t="s">
        <v>112</v>
      </c>
      <c r="D18" s="5" t="s">
        <v>110</v>
      </c>
      <c r="E18" s="5" t="s">
        <v>111</v>
      </c>
      <c r="F18" s="6" t="s">
        <v>84</v>
      </c>
      <c r="G18" s="6" t="s">
        <v>277</v>
      </c>
      <c r="H18" s="7" t="s">
        <v>320</v>
      </c>
      <c r="I18" s="4" t="s">
        <v>279</v>
      </c>
      <c r="J18" s="13" t="s">
        <v>321</v>
      </c>
    </row>
    <row r="19" spans="1:10" s="1" customFormat="1" ht="409.6" x14ac:dyDescent="0.2">
      <c r="A19" s="3">
        <v>17</v>
      </c>
      <c r="B19" s="4" t="s">
        <v>276</v>
      </c>
      <c r="C19" s="4" t="s">
        <v>112</v>
      </c>
      <c r="D19" s="5" t="s">
        <v>322</v>
      </c>
      <c r="E19" s="5" t="s">
        <v>116</v>
      </c>
      <c r="F19" s="6" t="s">
        <v>84</v>
      </c>
      <c r="G19" s="6" t="s">
        <v>323</v>
      </c>
      <c r="I19" s="4" t="s">
        <v>279</v>
      </c>
      <c r="J19" s="7" t="s">
        <v>324</v>
      </c>
    </row>
    <row r="20" spans="1:10" s="1" customFormat="1" ht="77.75" customHeight="1" x14ac:dyDescent="0.2">
      <c r="A20" s="16">
        <v>18</v>
      </c>
      <c r="B20" s="17" t="s">
        <v>276</v>
      </c>
      <c r="C20" s="17" t="s">
        <v>112</v>
      </c>
      <c r="D20" s="18" t="s">
        <v>120</v>
      </c>
      <c r="E20" s="18" t="s">
        <v>121</v>
      </c>
      <c r="F20" s="19" t="s">
        <v>59</v>
      </c>
      <c r="G20" s="19" t="s">
        <v>277</v>
      </c>
      <c r="H20" s="20" t="s">
        <v>325</v>
      </c>
      <c r="I20" s="17" t="s">
        <v>279</v>
      </c>
      <c r="J20" s="13"/>
    </row>
    <row r="21" spans="1:10" s="1" customFormat="1" ht="100.25" customHeight="1" x14ac:dyDescent="0.2">
      <c r="A21" s="3">
        <v>19</v>
      </c>
      <c r="B21" s="4" t="s">
        <v>276</v>
      </c>
      <c r="C21" s="4" t="s">
        <v>112</v>
      </c>
      <c r="D21" s="5" t="s">
        <v>124</v>
      </c>
      <c r="E21" s="5" t="s">
        <v>125</v>
      </c>
      <c r="F21" s="6" t="s">
        <v>84</v>
      </c>
      <c r="G21" s="6" t="s">
        <v>277</v>
      </c>
      <c r="H21" s="7" t="s">
        <v>326</v>
      </c>
      <c r="I21" s="4" t="s">
        <v>279</v>
      </c>
      <c r="J21" s="13"/>
    </row>
    <row r="22" spans="1:10" s="1" customFormat="1" ht="38.25" customHeight="1" x14ac:dyDescent="0.2">
      <c r="A22" s="3">
        <v>20</v>
      </c>
      <c r="B22" s="4" t="s">
        <v>276</v>
      </c>
      <c r="C22" s="4" t="s">
        <v>112</v>
      </c>
      <c r="D22" s="5" t="s">
        <v>128</v>
      </c>
      <c r="E22" s="5" t="s">
        <v>129</v>
      </c>
      <c r="F22" s="6" t="s">
        <v>89</v>
      </c>
      <c r="G22" s="6" t="s">
        <v>281</v>
      </c>
      <c r="H22" s="7" t="s">
        <v>327</v>
      </c>
      <c r="I22" s="4" t="s">
        <v>279</v>
      </c>
      <c r="J22" s="13"/>
    </row>
    <row r="23" spans="1:10" s="1" customFormat="1" ht="144.5" customHeight="1" x14ac:dyDescent="0.2">
      <c r="A23" s="3">
        <v>21</v>
      </c>
      <c r="B23" s="4" t="s">
        <v>276</v>
      </c>
      <c r="C23" s="4" t="s">
        <v>112</v>
      </c>
      <c r="D23" s="5" t="s">
        <v>133</v>
      </c>
      <c r="E23" s="5" t="s">
        <v>134</v>
      </c>
      <c r="F23" s="6" t="s">
        <v>89</v>
      </c>
      <c r="G23" s="6" t="s">
        <v>281</v>
      </c>
      <c r="H23" s="7" t="s">
        <v>328</v>
      </c>
      <c r="I23" s="4" t="s">
        <v>279</v>
      </c>
      <c r="J23" s="13"/>
    </row>
    <row r="24" spans="1:10" s="2" customFormat="1" ht="51.25" customHeight="1" x14ac:dyDescent="0.2">
      <c r="A24" s="8">
        <v>22</v>
      </c>
      <c r="B24" s="9" t="s">
        <v>329</v>
      </c>
      <c r="C24" s="9" t="s">
        <v>139</v>
      </c>
      <c r="D24" s="10" t="s">
        <v>137</v>
      </c>
      <c r="E24" s="10" t="s">
        <v>138</v>
      </c>
      <c r="F24" s="11" t="s">
        <v>84</v>
      </c>
      <c r="G24" s="11" t="s">
        <v>277</v>
      </c>
      <c r="H24" s="12" t="s">
        <v>330</v>
      </c>
      <c r="I24" s="9" t="s">
        <v>331</v>
      </c>
      <c r="J24" s="14"/>
    </row>
    <row r="25" spans="1:10" s="2" customFormat="1" ht="57" customHeight="1" x14ac:dyDescent="0.2">
      <c r="A25" s="8">
        <v>23</v>
      </c>
      <c r="B25" s="9" t="s">
        <v>329</v>
      </c>
      <c r="C25" s="9" t="s">
        <v>139</v>
      </c>
      <c r="D25" s="10" t="s">
        <v>143</v>
      </c>
      <c r="E25" s="10" t="s">
        <v>144</v>
      </c>
      <c r="F25" s="11" t="s">
        <v>89</v>
      </c>
      <c r="G25" s="11" t="s">
        <v>281</v>
      </c>
      <c r="H25" s="12" t="s">
        <v>145</v>
      </c>
      <c r="I25" s="9" t="s">
        <v>331</v>
      </c>
      <c r="J25" s="14"/>
    </row>
    <row r="26" spans="1:10" s="2" customFormat="1" ht="70.5" customHeight="1" x14ac:dyDescent="0.2">
      <c r="A26" s="8">
        <v>24</v>
      </c>
      <c r="B26" s="9" t="s">
        <v>329</v>
      </c>
      <c r="C26" s="9" t="s">
        <v>139</v>
      </c>
      <c r="D26" s="10" t="s">
        <v>147</v>
      </c>
      <c r="E26" s="10" t="s">
        <v>148</v>
      </c>
      <c r="F26" s="11" t="s">
        <v>89</v>
      </c>
      <c r="G26" s="11" t="s">
        <v>281</v>
      </c>
      <c r="H26" s="12" t="s">
        <v>332</v>
      </c>
      <c r="I26" s="9" t="s">
        <v>331</v>
      </c>
      <c r="J26" s="14"/>
    </row>
    <row r="27" spans="1:10" s="1" customFormat="1" ht="182.25" customHeight="1" x14ac:dyDescent="0.2">
      <c r="A27" s="3">
        <v>25</v>
      </c>
      <c r="B27" s="4" t="s">
        <v>329</v>
      </c>
      <c r="C27" s="4" t="s">
        <v>139</v>
      </c>
      <c r="D27" s="5" t="s">
        <v>333</v>
      </c>
      <c r="E27" s="5" t="s">
        <v>334</v>
      </c>
      <c r="F27" s="6" t="s">
        <v>89</v>
      </c>
      <c r="G27" s="6" t="s">
        <v>281</v>
      </c>
      <c r="H27" s="7" t="s">
        <v>335</v>
      </c>
      <c r="I27" s="4" t="s">
        <v>331</v>
      </c>
      <c r="J27" s="13"/>
    </row>
    <row r="28" spans="1:10" s="1" customFormat="1" ht="171.25" customHeight="1" x14ac:dyDescent="0.2">
      <c r="A28" s="3">
        <v>26</v>
      </c>
      <c r="B28" s="4" t="s">
        <v>329</v>
      </c>
      <c r="C28" s="4" t="s">
        <v>139</v>
      </c>
      <c r="D28" s="5" t="s">
        <v>336</v>
      </c>
      <c r="E28" s="5" t="s">
        <v>337</v>
      </c>
      <c r="F28" s="6" t="s">
        <v>89</v>
      </c>
      <c r="G28" s="6" t="s">
        <v>281</v>
      </c>
      <c r="H28" s="7" t="s">
        <v>338</v>
      </c>
      <c r="I28" s="4" t="s">
        <v>331</v>
      </c>
      <c r="J28" s="13"/>
    </row>
    <row r="29" spans="1:10" s="1" customFormat="1" ht="48.5" customHeight="1" x14ac:dyDescent="0.2">
      <c r="A29" s="3">
        <v>27</v>
      </c>
      <c r="B29" s="4" t="s">
        <v>329</v>
      </c>
      <c r="C29" s="4" t="s">
        <v>162</v>
      </c>
      <c r="D29" s="5" t="s">
        <v>160</v>
      </c>
      <c r="E29" s="5" t="s">
        <v>161</v>
      </c>
      <c r="F29" s="6" t="s">
        <v>84</v>
      </c>
      <c r="G29" s="6" t="s">
        <v>277</v>
      </c>
      <c r="H29" s="12" t="s">
        <v>339</v>
      </c>
      <c r="I29" s="4" t="s">
        <v>331</v>
      </c>
      <c r="J29" s="13"/>
    </row>
    <row r="30" spans="1:10" s="1" customFormat="1" ht="58.25" customHeight="1" x14ac:dyDescent="0.2">
      <c r="A30" s="3">
        <v>28</v>
      </c>
      <c r="B30" s="4" t="s">
        <v>329</v>
      </c>
      <c r="C30" s="4" t="s">
        <v>162</v>
      </c>
      <c r="D30" s="5" t="s">
        <v>340</v>
      </c>
      <c r="E30" s="5" t="s">
        <v>341</v>
      </c>
      <c r="F30" s="6" t="s">
        <v>59</v>
      </c>
      <c r="G30" s="6" t="s">
        <v>291</v>
      </c>
      <c r="H30" s="7" t="s">
        <v>342</v>
      </c>
      <c r="I30" s="4" t="s">
        <v>331</v>
      </c>
      <c r="J30" s="13"/>
    </row>
    <row r="31" spans="1:10" s="1" customFormat="1" ht="48.75" customHeight="1" x14ac:dyDescent="0.2">
      <c r="A31" s="3">
        <v>29</v>
      </c>
      <c r="B31" s="4" t="s">
        <v>329</v>
      </c>
      <c r="C31" s="4" t="s">
        <v>162</v>
      </c>
      <c r="D31" s="5" t="s">
        <v>165</v>
      </c>
      <c r="E31" s="5" t="s">
        <v>166</v>
      </c>
      <c r="F31" s="6" t="s">
        <v>84</v>
      </c>
      <c r="G31" s="6" t="s">
        <v>277</v>
      </c>
      <c r="H31" s="7" t="s">
        <v>343</v>
      </c>
      <c r="I31" s="4" t="s">
        <v>331</v>
      </c>
      <c r="J31" s="13"/>
    </row>
    <row r="32" spans="1:10" s="1" customFormat="1" ht="55.75" customHeight="1" x14ac:dyDescent="0.2">
      <c r="A32" s="3">
        <v>30</v>
      </c>
      <c r="B32" s="4" t="s">
        <v>329</v>
      </c>
      <c r="C32" s="4" t="s">
        <v>162</v>
      </c>
      <c r="D32" s="5" t="s">
        <v>344</v>
      </c>
      <c r="E32" s="5" t="s">
        <v>345</v>
      </c>
      <c r="F32" s="6" t="s">
        <v>59</v>
      </c>
      <c r="G32" s="6" t="s">
        <v>291</v>
      </c>
      <c r="H32" s="7" t="s">
        <v>346</v>
      </c>
      <c r="I32" s="4" t="s">
        <v>331</v>
      </c>
      <c r="J32" s="13"/>
    </row>
    <row r="33" spans="1:10" s="1" customFormat="1" ht="66.75" customHeight="1" x14ac:dyDescent="0.2">
      <c r="A33" s="3">
        <v>31</v>
      </c>
      <c r="B33" s="4" t="s">
        <v>329</v>
      </c>
      <c r="C33" s="4" t="s">
        <v>162</v>
      </c>
      <c r="D33" s="5" t="s">
        <v>169</v>
      </c>
      <c r="E33" s="5" t="s">
        <v>170</v>
      </c>
      <c r="F33" s="6" t="s">
        <v>84</v>
      </c>
      <c r="G33" s="6" t="s">
        <v>277</v>
      </c>
      <c r="H33" s="7" t="s">
        <v>347</v>
      </c>
      <c r="I33" s="4" t="s">
        <v>331</v>
      </c>
      <c r="J33" s="13"/>
    </row>
    <row r="34" spans="1:10" s="1" customFormat="1" ht="43.75" customHeight="1" x14ac:dyDescent="0.2">
      <c r="A34" s="3">
        <v>32</v>
      </c>
      <c r="B34" s="4" t="s">
        <v>329</v>
      </c>
      <c r="C34" s="4" t="s">
        <v>175</v>
      </c>
      <c r="D34" s="5" t="s">
        <v>173</v>
      </c>
      <c r="E34" s="5" t="s">
        <v>174</v>
      </c>
      <c r="F34" s="6" t="s">
        <v>84</v>
      </c>
      <c r="G34" s="6" t="s">
        <v>277</v>
      </c>
      <c r="H34" s="12" t="s">
        <v>348</v>
      </c>
      <c r="I34" s="4" t="s">
        <v>331</v>
      </c>
      <c r="J34" s="13"/>
    </row>
    <row r="35" spans="1:10" s="1" customFormat="1" ht="56.75" customHeight="1" x14ac:dyDescent="0.2">
      <c r="A35" s="3">
        <v>33</v>
      </c>
      <c r="B35" s="4" t="s">
        <v>329</v>
      </c>
      <c r="C35" s="4" t="s">
        <v>175</v>
      </c>
      <c r="D35" s="5" t="s">
        <v>178</v>
      </c>
      <c r="E35" s="5" t="s">
        <v>179</v>
      </c>
      <c r="F35" s="6" t="s">
        <v>84</v>
      </c>
      <c r="G35" s="6" t="s">
        <v>277</v>
      </c>
      <c r="H35" s="12" t="s">
        <v>349</v>
      </c>
      <c r="I35" s="4" t="s">
        <v>331</v>
      </c>
      <c r="J35" s="13"/>
    </row>
    <row r="36" spans="1:10" s="1" customFormat="1" ht="36.25" customHeight="1" x14ac:dyDescent="0.2">
      <c r="A36" s="3">
        <v>34</v>
      </c>
      <c r="B36" s="4" t="s">
        <v>329</v>
      </c>
      <c r="C36" s="4" t="s">
        <v>175</v>
      </c>
      <c r="D36" s="5" t="s">
        <v>182</v>
      </c>
      <c r="E36" s="5" t="s">
        <v>183</v>
      </c>
      <c r="F36" s="6" t="s">
        <v>84</v>
      </c>
      <c r="G36" s="6" t="s">
        <v>277</v>
      </c>
      <c r="H36" s="7" t="s">
        <v>350</v>
      </c>
      <c r="I36" s="4" t="s">
        <v>331</v>
      </c>
      <c r="J36" s="13"/>
    </row>
    <row r="37" spans="1:10" s="1" customFormat="1" ht="55.25" customHeight="1" x14ac:dyDescent="0.2">
      <c r="A37" s="3">
        <v>35</v>
      </c>
      <c r="B37" s="4" t="s">
        <v>329</v>
      </c>
      <c r="C37" s="4" t="s">
        <v>175</v>
      </c>
      <c r="D37" s="5" t="s">
        <v>186</v>
      </c>
      <c r="E37" s="5" t="s">
        <v>187</v>
      </c>
      <c r="F37" s="6" t="s">
        <v>84</v>
      </c>
      <c r="G37" s="6" t="s">
        <v>277</v>
      </c>
      <c r="H37" s="7" t="s">
        <v>351</v>
      </c>
      <c r="I37" s="4" t="s">
        <v>331</v>
      </c>
      <c r="J37" s="13"/>
    </row>
    <row r="38" spans="1:10" s="1" customFormat="1" ht="64.5" customHeight="1" x14ac:dyDescent="0.2">
      <c r="A38" s="3">
        <v>36</v>
      </c>
      <c r="B38" s="4" t="s">
        <v>329</v>
      </c>
      <c r="C38" s="4" t="s">
        <v>175</v>
      </c>
      <c r="D38" s="5" t="s">
        <v>190</v>
      </c>
      <c r="E38" s="5" t="s">
        <v>191</v>
      </c>
      <c r="F38" s="6" t="s">
        <v>84</v>
      </c>
      <c r="G38" s="6" t="s">
        <v>277</v>
      </c>
      <c r="H38" s="7" t="s">
        <v>352</v>
      </c>
      <c r="I38" s="4" t="s">
        <v>331</v>
      </c>
      <c r="J38" s="13"/>
    </row>
    <row r="39" spans="1:10" s="1" customFormat="1" ht="69.5" customHeight="1" x14ac:dyDescent="0.2">
      <c r="A39" s="3">
        <v>37</v>
      </c>
      <c r="B39" s="4" t="s">
        <v>329</v>
      </c>
      <c r="C39" s="4" t="s">
        <v>196</v>
      </c>
      <c r="D39" s="5" t="s">
        <v>194</v>
      </c>
      <c r="E39" s="5" t="s">
        <v>195</v>
      </c>
      <c r="F39" s="6" t="s">
        <v>89</v>
      </c>
      <c r="G39" s="6" t="s">
        <v>277</v>
      </c>
      <c r="H39" s="7" t="s">
        <v>353</v>
      </c>
      <c r="I39" s="4" t="s">
        <v>331</v>
      </c>
      <c r="J39" s="13"/>
    </row>
    <row r="40" spans="1:10" s="1" customFormat="1" ht="409.6" x14ac:dyDescent="0.2">
      <c r="A40" s="3">
        <v>38</v>
      </c>
      <c r="B40" s="4" t="s">
        <v>354</v>
      </c>
      <c r="C40" s="4" t="s">
        <v>201</v>
      </c>
      <c r="D40" s="5" t="s">
        <v>199</v>
      </c>
      <c r="E40" s="5" t="s">
        <v>200</v>
      </c>
      <c r="F40" s="6" t="s">
        <v>59</v>
      </c>
      <c r="G40" s="6" t="s">
        <v>281</v>
      </c>
      <c r="H40" s="7" t="s">
        <v>355</v>
      </c>
      <c r="I40" s="4" t="s">
        <v>356</v>
      </c>
      <c r="J40" s="13"/>
    </row>
    <row r="41" spans="1:10" s="1" customFormat="1" ht="57.75" customHeight="1" x14ac:dyDescent="0.2">
      <c r="A41" s="3">
        <v>39</v>
      </c>
      <c r="B41" s="4" t="s">
        <v>354</v>
      </c>
      <c r="C41" s="4" t="s">
        <v>201</v>
      </c>
      <c r="D41" s="5" t="s">
        <v>205</v>
      </c>
      <c r="E41" s="5" t="s">
        <v>206</v>
      </c>
      <c r="F41" s="6" t="s">
        <v>59</v>
      </c>
      <c r="G41" s="6" t="s">
        <v>357</v>
      </c>
      <c r="H41" s="12" t="s">
        <v>358</v>
      </c>
      <c r="I41" s="4" t="s">
        <v>356</v>
      </c>
      <c r="J41" s="13"/>
    </row>
    <row r="42" spans="1:10" s="1" customFormat="1" ht="64" customHeight="1" x14ac:dyDescent="0.2">
      <c r="A42" s="3">
        <v>40</v>
      </c>
      <c r="B42" s="4" t="s">
        <v>354</v>
      </c>
      <c r="C42" s="4" t="s">
        <v>201</v>
      </c>
      <c r="D42" s="5" t="s">
        <v>359</v>
      </c>
      <c r="E42" s="5" t="s">
        <v>360</v>
      </c>
      <c r="F42" s="6" t="s">
        <v>59</v>
      </c>
      <c r="G42" s="6" t="s">
        <v>291</v>
      </c>
      <c r="H42" s="7" t="s">
        <v>361</v>
      </c>
      <c r="I42" s="4" t="s">
        <v>356</v>
      </c>
      <c r="J42" s="13"/>
    </row>
    <row r="43" spans="1:10" s="1" customFormat="1" ht="167" customHeight="1" x14ac:dyDescent="0.2">
      <c r="A43" s="3">
        <v>41</v>
      </c>
      <c r="B43" s="4" t="s">
        <v>354</v>
      </c>
      <c r="C43" s="4" t="s">
        <v>201</v>
      </c>
      <c r="D43" s="5" t="s">
        <v>362</v>
      </c>
      <c r="E43" s="5" t="s">
        <v>210</v>
      </c>
      <c r="F43" s="6" t="s">
        <v>84</v>
      </c>
      <c r="G43" s="6" t="s">
        <v>277</v>
      </c>
      <c r="H43" s="7" t="s">
        <v>363</v>
      </c>
      <c r="I43" s="4" t="s">
        <v>356</v>
      </c>
      <c r="J43" s="13"/>
    </row>
    <row r="44" spans="1:10" s="1" customFormat="1" ht="67" customHeight="1" x14ac:dyDescent="0.2">
      <c r="A44" s="3">
        <v>42</v>
      </c>
      <c r="B44" s="4" t="s">
        <v>354</v>
      </c>
      <c r="C44" s="4" t="s">
        <v>201</v>
      </c>
      <c r="D44" s="5" t="s">
        <v>364</v>
      </c>
      <c r="E44" s="5" t="s">
        <v>365</v>
      </c>
      <c r="F44" s="6" t="s">
        <v>59</v>
      </c>
      <c r="G44" s="6" t="s">
        <v>291</v>
      </c>
      <c r="H44" s="7" t="s">
        <v>366</v>
      </c>
      <c r="I44" s="4" t="s">
        <v>356</v>
      </c>
      <c r="J44" s="13"/>
    </row>
    <row r="45" spans="1:10" s="1" customFormat="1" ht="40.75" customHeight="1" x14ac:dyDescent="0.2">
      <c r="A45" s="3">
        <v>43</v>
      </c>
      <c r="B45" s="4" t="s">
        <v>354</v>
      </c>
      <c r="C45" s="4" t="s">
        <v>215</v>
      </c>
      <c r="D45" s="5" t="s">
        <v>367</v>
      </c>
      <c r="E45" s="5" t="s">
        <v>368</v>
      </c>
      <c r="F45" s="6" t="s">
        <v>59</v>
      </c>
      <c r="G45" s="6" t="s">
        <v>291</v>
      </c>
      <c r="H45" s="7" t="s">
        <v>369</v>
      </c>
      <c r="I45" s="4" t="s">
        <v>356</v>
      </c>
      <c r="J45" s="13"/>
    </row>
    <row r="46" spans="1:10" s="1" customFormat="1" ht="47.5" customHeight="1" x14ac:dyDescent="0.2">
      <c r="A46" s="3">
        <v>44</v>
      </c>
      <c r="B46" s="4" t="s">
        <v>354</v>
      </c>
      <c r="C46" s="4" t="s">
        <v>215</v>
      </c>
      <c r="D46" s="5" t="s">
        <v>213</v>
      </c>
      <c r="E46" s="5" t="s">
        <v>214</v>
      </c>
      <c r="F46" s="6" t="s">
        <v>84</v>
      </c>
      <c r="G46" s="6" t="s">
        <v>277</v>
      </c>
      <c r="H46" s="12" t="s">
        <v>216</v>
      </c>
      <c r="I46" s="4" t="s">
        <v>356</v>
      </c>
      <c r="J46" s="21" t="s">
        <v>370</v>
      </c>
    </row>
    <row r="47" spans="1:10" s="1" customFormat="1" ht="409.5" customHeight="1" x14ac:dyDescent="0.2">
      <c r="A47" s="3">
        <v>45</v>
      </c>
      <c r="B47" s="4" t="s">
        <v>354</v>
      </c>
      <c r="C47" s="4" t="s">
        <v>215</v>
      </c>
      <c r="D47" s="5" t="s">
        <v>218</v>
      </c>
      <c r="E47" s="5" t="s">
        <v>219</v>
      </c>
      <c r="F47" s="6" t="s">
        <v>84</v>
      </c>
      <c r="G47" s="6" t="s">
        <v>277</v>
      </c>
      <c r="H47" s="7" t="s">
        <v>371</v>
      </c>
      <c r="I47" s="4" t="s">
        <v>356</v>
      </c>
      <c r="J47" s="13"/>
    </row>
    <row r="48" spans="1:10" s="1" customFormat="1" ht="90.25" customHeight="1" x14ac:dyDescent="0.2">
      <c r="A48" s="3">
        <v>46</v>
      </c>
      <c r="B48" s="4" t="s">
        <v>354</v>
      </c>
      <c r="C48" s="4" t="s">
        <v>215</v>
      </c>
      <c r="D48" s="5" t="s">
        <v>372</v>
      </c>
      <c r="E48" s="5" t="s">
        <v>373</v>
      </c>
      <c r="F48" s="6" t="s">
        <v>84</v>
      </c>
      <c r="G48" s="6" t="s">
        <v>277</v>
      </c>
      <c r="H48" s="7" t="s">
        <v>374</v>
      </c>
      <c r="I48" s="4" t="s">
        <v>356</v>
      </c>
      <c r="J48" s="13"/>
    </row>
    <row r="49" spans="1:10" s="1" customFormat="1" ht="44" customHeight="1" x14ac:dyDescent="0.2">
      <c r="A49" s="3">
        <v>47</v>
      </c>
      <c r="B49" s="4" t="s">
        <v>354</v>
      </c>
      <c r="C49" s="4" t="s">
        <v>215</v>
      </c>
      <c r="D49" s="5" t="s">
        <v>375</v>
      </c>
      <c r="E49" s="5" t="s">
        <v>376</v>
      </c>
      <c r="F49" s="6" t="s">
        <v>59</v>
      </c>
      <c r="G49" s="6" t="s">
        <v>291</v>
      </c>
      <c r="H49" s="7" t="s">
        <v>377</v>
      </c>
      <c r="I49" s="4" t="s">
        <v>356</v>
      </c>
      <c r="J49" s="13"/>
    </row>
    <row r="50" spans="1:10" s="1" customFormat="1" ht="47" customHeight="1" x14ac:dyDescent="0.2">
      <c r="A50" s="3">
        <v>48</v>
      </c>
      <c r="B50" s="4" t="s">
        <v>354</v>
      </c>
      <c r="C50" s="4" t="s">
        <v>228</v>
      </c>
      <c r="D50" s="5" t="s">
        <v>378</v>
      </c>
      <c r="E50" s="5" t="s">
        <v>379</v>
      </c>
      <c r="F50" s="6" t="s">
        <v>59</v>
      </c>
      <c r="G50" s="6" t="s">
        <v>291</v>
      </c>
      <c r="H50" s="7" t="s">
        <v>380</v>
      </c>
      <c r="I50" s="4" t="s">
        <v>356</v>
      </c>
      <c r="J50" s="13"/>
    </row>
    <row r="51" spans="1:10" s="1" customFormat="1" ht="101" customHeight="1" x14ac:dyDescent="0.2">
      <c r="A51" s="3">
        <v>49</v>
      </c>
      <c r="B51" s="4" t="s">
        <v>354</v>
      </c>
      <c r="C51" s="4" t="s">
        <v>228</v>
      </c>
      <c r="D51" s="5" t="s">
        <v>381</v>
      </c>
      <c r="E51" s="5" t="s">
        <v>382</v>
      </c>
      <c r="F51" s="6" t="s">
        <v>59</v>
      </c>
      <c r="G51" s="6" t="s">
        <v>277</v>
      </c>
      <c r="H51" s="7" t="s">
        <v>383</v>
      </c>
      <c r="I51" s="4" t="s">
        <v>356</v>
      </c>
      <c r="J51" s="13"/>
    </row>
    <row r="52" spans="1:10" s="1" customFormat="1" ht="62" customHeight="1" x14ac:dyDescent="0.2">
      <c r="A52" s="3">
        <v>50</v>
      </c>
      <c r="B52" s="4" t="s">
        <v>354</v>
      </c>
      <c r="C52" s="4" t="s">
        <v>228</v>
      </c>
      <c r="D52" s="5" t="s">
        <v>384</v>
      </c>
      <c r="E52" s="5" t="s">
        <v>385</v>
      </c>
      <c r="F52" s="6" t="s">
        <v>59</v>
      </c>
      <c r="G52" s="6" t="s">
        <v>291</v>
      </c>
      <c r="H52" s="7" t="s">
        <v>386</v>
      </c>
      <c r="I52" s="4" t="s">
        <v>356</v>
      </c>
      <c r="J52" s="13"/>
    </row>
    <row r="53" spans="1:10" s="1" customFormat="1" ht="113.75" customHeight="1" x14ac:dyDescent="0.2">
      <c r="A53" s="3">
        <v>51</v>
      </c>
      <c r="B53" s="4" t="s">
        <v>354</v>
      </c>
      <c r="C53" s="4" t="s">
        <v>233</v>
      </c>
      <c r="D53" s="5" t="s">
        <v>387</v>
      </c>
      <c r="E53" s="5" t="s">
        <v>388</v>
      </c>
      <c r="F53" s="6" t="s">
        <v>59</v>
      </c>
      <c r="G53" s="6" t="s">
        <v>291</v>
      </c>
      <c r="H53" s="7" t="s">
        <v>389</v>
      </c>
      <c r="I53" s="4" t="s">
        <v>356</v>
      </c>
      <c r="J53" s="13"/>
    </row>
    <row r="54" spans="1:10" s="1" customFormat="1" ht="70.5" customHeight="1" x14ac:dyDescent="0.2">
      <c r="A54" s="3">
        <v>52</v>
      </c>
      <c r="B54" s="4" t="s">
        <v>354</v>
      </c>
      <c r="C54" s="4" t="s">
        <v>233</v>
      </c>
      <c r="D54" s="5" t="s">
        <v>231</v>
      </c>
      <c r="E54" s="5" t="s">
        <v>232</v>
      </c>
      <c r="F54" s="6" t="s">
        <v>59</v>
      </c>
      <c r="G54" s="6" t="s">
        <v>277</v>
      </c>
      <c r="H54" s="12" t="s">
        <v>390</v>
      </c>
      <c r="I54" s="4" t="s">
        <v>356</v>
      </c>
      <c r="J54" s="13"/>
    </row>
    <row r="55" spans="1:10" s="1" customFormat="1" ht="80.25" customHeight="1" x14ac:dyDescent="0.2">
      <c r="A55" s="3">
        <v>53</v>
      </c>
      <c r="B55" s="4" t="s">
        <v>354</v>
      </c>
      <c r="C55" s="4" t="s">
        <v>233</v>
      </c>
      <c r="D55" s="5" t="s">
        <v>236</v>
      </c>
      <c r="E55" s="5" t="s">
        <v>237</v>
      </c>
      <c r="F55" s="6" t="s">
        <v>84</v>
      </c>
      <c r="G55" s="6" t="s">
        <v>277</v>
      </c>
      <c r="H55" s="12" t="s">
        <v>391</v>
      </c>
      <c r="I55" s="4" t="s">
        <v>356</v>
      </c>
      <c r="J55" s="13"/>
    </row>
    <row r="56" spans="1:10" s="1" customFormat="1" ht="54.75" customHeight="1" x14ac:dyDescent="0.2">
      <c r="A56" s="3">
        <v>54</v>
      </c>
      <c r="B56" s="4" t="s">
        <v>354</v>
      </c>
      <c r="C56" s="4" t="s">
        <v>233</v>
      </c>
      <c r="D56" s="5" t="s">
        <v>392</v>
      </c>
      <c r="E56" s="5" t="s">
        <v>393</v>
      </c>
      <c r="F56" s="6" t="s">
        <v>59</v>
      </c>
      <c r="G56" s="6" t="s">
        <v>291</v>
      </c>
      <c r="H56" s="7" t="s">
        <v>377</v>
      </c>
      <c r="I56" s="4" t="s">
        <v>356</v>
      </c>
      <c r="J56" s="13"/>
    </row>
    <row r="57" spans="1:10" s="1" customFormat="1" ht="43.75" customHeight="1" x14ac:dyDescent="0.2">
      <c r="A57" s="3">
        <v>55</v>
      </c>
      <c r="B57" s="4" t="s">
        <v>354</v>
      </c>
      <c r="C57" s="4" t="s">
        <v>233</v>
      </c>
      <c r="D57" s="5" t="s">
        <v>240</v>
      </c>
      <c r="E57" s="5" t="s">
        <v>241</v>
      </c>
      <c r="F57" s="6" t="s">
        <v>84</v>
      </c>
      <c r="G57" s="6" t="s">
        <v>277</v>
      </c>
      <c r="H57" s="12" t="s">
        <v>394</v>
      </c>
      <c r="I57" s="4" t="s">
        <v>356</v>
      </c>
      <c r="J57" s="13"/>
    </row>
    <row r="58" spans="1:10" s="1" customFormat="1" ht="79.25" customHeight="1" x14ac:dyDescent="0.2">
      <c r="A58" s="3">
        <v>56</v>
      </c>
      <c r="B58" s="4" t="s">
        <v>354</v>
      </c>
      <c r="C58" s="4" t="s">
        <v>233</v>
      </c>
      <c r="D58" s="5" t="s">
        <v>395</v>
      </c>
      <c r="E58" s="5" t="s">
        <v>396</v>
      </c>
      <c r="F58" s="6" t="s">
        <v>130</v>
      </c>
      <c r="G58" s="6" t="s">
        <v>291</v>
      </c>
      <c r="H58" s="7" t="s">
        <v>397</v>
      </c>
      <c r="I58" s="4" t="s">
        <v>356</v>
      </c>
      <c r="J58" s="13"/>
    </row>
    <row r="59" spans="1:10" s="1" customFormat="1" ht="78.75" customHeight="1" x14ac:dyDescent="0.2">
      <c r="A59" s="3">
        <v>57</v>
      </c>
      <c r="B59" s="4" t="s">
        <v>354</v>
      </c>
      <c r="C59" s="4" t="s">
        <v>233</v>
      </c>
      <c r="D59" s="5" t="s">
        <v>244</v>
      </c>
      <c r="E59" s="5" t="s">
        <v>245</v>
      </c>
      <c r="F59" s="6" t="s">
        <v>84</v>
      </c>
      <c r="G59" s="6" t="s">
        <v>277</v>
      </c>
      <c r="H59" s="7" t="s">
        <v>398</v>
      </c>
      <c r="I59" s="4" t="s">
        <v>356</v>
      </c>
      <c r="J59" s="13"/>
    </row>
    <row r="60" spans="1:10" s="1" customFormat="1" ht="51" customHeight="1" x14ac:dyDescent="0.2">
      <c r="A60" s="3">
        <v>58</v>
      </c>
      <c r="B60" s="4" t="s">
        <v>354</v>
      </c>
      <c r="C60" s="4" t="s">
        <v>250</v>
      </c>
      <c r="D60" s="5" t="s">
        <v>399</v>
      </c>
      <c r="E60" s="5" t="s">
        <v>249</v>
      </c>
      <c r="F60" s="6" t="s">
        <v>59</v>
      </c>
      <c r="G60" s="6" t="s">
        <v>277</v>
      </c>
      <c r="H60" s="12" t="s">
        <v>400</v>
      </c>
      <c r="I60" s="4" t="s">
        <v>356</v>
      </c>
      <c r="J60" s="13"/>
    </row>
    <row r="61" spans="1:10" s="1" customFormat="1" ht="67.75" customHeight="1" x14ac:dyDescent="0.2">
      <c r="A61" s="3">
        <v>59</v>
      </c>
      <c r="B61" s="4" t="s">
        <v>354</v>
      </c>
      <c r="C61" s="4" t="s">
        <v>250</v>
      </c>
      <c r="D61" s="5" t="s">
        <v>401</v>
      </c>
      <c r="E61" s="5" t="s">
        <v>402</v>
      </c>
      <c r="F61" s="6" t="s">
        <v>59</v>
      </c>
      <c r="G61" s="6" t="s">
        <v>291</v>
      </c>
      <c r="H61" s="12" t="s">
        <v>403</v>
      </c>
      <c r="I61" s="4" t="s">
        <v>356</v>
      </c>
      <c r="J61" s="13"/>
    </row>
    <row r="62" spans="1:10" s="1" customFormat="1" ht="73.75" customHeight="1" x14ac:dyDescent="0.2">
      <c r="A62" s="3">
        <v>60</v>
      </c>
      <c r="B62" s="4" t="s">
        <v>354</v>
      </c>
      <c r="C62" s="4" t="s">
        <v>250</v>
      </c>
      <c r="D62" s="5" t="s">
        <v>253</v>
      </c>
      <c r="E62" s="5" t="s">
        <v>254</v>
      </c>
      <c r="F62" s="6" t="s">
        <v>84</v>
      </c>
      <c r="G62" s="6" t="s">
        <v>277</v>
      </c>
      <c r="H62" s="7" t="s">
        <v>404</v>
      </c>
      <c r="I62" s="4" t="s">
        <v>356</v>
      </c>
      <c r="J62" s="13"/>
    </row>
    <row r="63" spans="1:10" s="1" customFormat="1" ht="63.5" customHeight="1" x14ac:dyDescent="0.2">
      <c r="A63" s="3">
        <v>61</v>
      </c>
      <c r="B63" s="4" t="s">
        <v>354</v>
      </c>
      <c r="C63" s="4" t="s">
        <v>250</v>
      </c>
      <c r="D63" s="5" t="s">
        <v>405</v>
      </c>
      <c r="E63" s="5" t="s">
        <v>406</v>
      </c>
      <c r="F63" s="6" t="s">
        <v>130</v>
      </c>
      <c r="G63" s="6" t="s">
        <v>291</v>
      </c>
      <c r="H63" s="12" t="s">
        <v>407</v>
      </c>
      <c r="I63" s="4" t="s">
        <v>356</v>
      </c>
      <c r="J63" s="13"/>
    </row>
    <row r="64" spans="1:10" s="1" customFormat="1" ht="65.25" customHeight="1" x14ac:dyDescent="0.2">
      <c r="A64" s="3">
        <v>62</v>
      </c>
      <c r="B64" s="4" t="s">
        <v>354</v>
      </c>
      <c r="C64" s="4" t="s">
        <v>250</v>
      </c>
      <c r="D64" s="5" t="s">
        <v>408</v>
      </c>
      <c r="E64" s="5" t="s">
        <v>409</v>
      </c>
      <c r="F64" s="6" t="s">
        <v>59</v>
      </c>
      <c r="G64" s="6" t="s">
        <v>291</v>
      </c>
      <c r="H64" s="12" t="s">
        <v>410</v>
      </c>
      <c r="I64" s="4" t="s">
        <v>356</v>
      </c>
      <c r="J64" s="13"/>
    </row>
    <row r="65" spans="1:10" s="1" customFormat="1" ht="249.25" customHeight="1" x14ac:dyDescent="0.2">
      <c r="A65" s="3">
        <v>63</v>
      </c>
      <c r="B65" s="4" t="s">
        <v>354</v>
      </c>
      <c r="C65" s="4" t="s">
        <v>259</v>
      </c>
      <c r="D65" s="5" t="s">
        <v>257</v>
      </c>
      <c r="E65" s="5" t="s">
        <v>258</v>
      </c>
      <c r="F65" s="6" t="s">
        <v>84</v>
      </c>
      <c r="G65" s="6" t="s">
        <v>277</v>
      </c>
      <c r="H65" s="7" t="s">
        <v>411</v>
      </c>
      <c r="I65" s="4" t="s">
        <v>356</v>
      </c>
      <c r="J65" s="13"/>
    </row>
    <row r="66" spans="1:10" s="1" customFormat="1" ht="133.75" customHeight="1" x14ac:dyDescent="0.2">
      <c r="A66" s="3">
        <v>64</v>
      </c>
      <c r="B66" s="4" t="s">
        <v>354</v>
      </c>
      <c r="C66" s="4" t="s">
        <v>259</v>
      </c>
      <c r="D66" s="5" t="s">
        <v>262</v>
      </c>
      <c r="E66" s="5" t="s">
        <v>263</v>
      </c>
      <c r="F66" s="6" t="s">
        <v>84</v>
      </c>
      <c r="G66" s="6" t="s">
        <v>277</v>
      </c>
      <c r="H66" s="12" t="s">
        <v>412</v>
      </c>
      <c r="I66" s="4" t="s">
        <v>356</v>
      </c>
      <c r="J66" s="13"/>
    </row>
  </sheetData>
  <autoFilter ref="A2:I66" xr:uid="{00000000-0001-0000-0100-000000000000}"/>
  <mergeCells count="1">
    <mergeCell ref="A1:J1"/>
  </mergeCells>
  <dataValidations count="1">
    <dataValidation type="list" allowBlank="1" sqref="F3:F66" xr:uid="{00000000-0002-0000-0100-000000000000}">
      <formula1>"Có / 예,Không / 아니오,N/A / 해당없음,Chưa đánh giá / 미평가"</formula1>
    </dataValidation>
  </dataValidations>
  <hyperlinks>
    <hyperlink ref="J46" r:id="rId1" xr:uid="{69EC771A-B832-4CCE-9F3D-563EFDE187CE}"/>
  </hyperlinks>
  <pageMargins left="0.3" right="0.3" top="0.4" bottom="0.4" header="0.5" footer="0.5"/>
  <pageSetup fitToHeight="0" orientation="landscape"/>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91582-5EFF-409A-B19C-B3F1CA8B7D5D}">
  <sheetPr>
    <tabColor theme="0"/>
    <pageSetUpPr fitToPage="1"/>
  </sheetPr>
  <dimension ref="A1:E46"/>
  <sheetViews>
    <sheetView showGridLines="0" workbookViewId="0">
      <pane xSplit="3" ySplit="1" topLeftCell="D11" activePane="bottomRight" state="frozen"/>
      <selection pane="topRight" activeCell="C1" sqref="C1"/>
      <selection pane="bottomLeft" activeCell="A3" sqref="A3"/>
      <selection pane="bottomRight" activeCell="C11" sqref="C11"/>
    </sheetView>
  </sheetViews>
  <sheetFormatPr baseColWidth="10" defaultColWidth="8.83203125" defaultRowHeight="15" x14ac:dyDescent="0.2"/>
  <cols>
    <col min="1" max="1" width="6.1640625" customWidth="1"/>
    <col min="2" max="2" width="13.6640625" style="39" bestFit="1" customWidth="1"/>
    <col min="3" max="3" width="87" customWidth="1"/>
    <col min="4" max="4" width="89" customWidth="1"/>
    <col min="5" max="5" width="20" customWidth="1"/>
  </cols>
  <sheetData>
    <row r="1" spans="1:5" x14ac:dyDescent="0.2">
      <c r="A1" s="48" t="s">
        <v>413</v>
      </c>
      <c r="B1" s="49" t="s">
        <v>414</v>
      </c>
      <c r="C1" s="49" t="s">
        <v>415</v>
      </c>
      <c r="D1" s="49" t="s">
        <v>47</v>
      </c>
      <c r="E1" s="49" t="s">
        <v>416</v>
      </c>
    </row>
    <row r="2" spans="1:5" x14ac:dyDescent="0.2">
      <c r="A2" s="56">
        <v>1</v>
      </c>
      <c r="B2" s="57" t="s">
        <v>417</v>
      </c>
      <c r="C2" s="42" t="str">
        <f>D2</f>
        <v>제공 서비스에 관한 정보를 공시하여 고객이 가입 전 또는 가입 시점에 접근 가능하도록 보장(제5조 제1·2항).</v>
      </c>
      <c r="D2" s="42" t="s">
        <v>57</v>
      </c>
      <c r="E2" s="44" t="s">
        <v>418</v>
      </c>
    </row>
    <row r="3" spans="1:5" x14ac:dyDescent="0.2">
      <c r="A3" s="56">
        <v>2</v>
      </c>
      <c r="B3" s="57" t="s">
        <v>417</v>
      </c>
      <c r="C3" s="42" t="str">
        <f t="shared" ref="C3:C46" si="0">D3</f>
        <v>증권회사는 온라인 증권거래 서비스 제공 전 UBCKNN 승인을 취득; 서류는 NĐ 155/2020 제203조, 양식은 부록 I (제5조 제3항).</v>
      </c>
      <c r="D3" s="42" t="s">
        <v>65</v>
      </c>
      <c r="E3" s="44" t="s">
        <v>418</v>
      </c>
    </row>
    <row r="4" spans="1:5" ht="70" x14ac:dyDescent="0.2">
      <c r="A4" s="56">
        <v>3</v>
      </c>
      <c r="B4" s="57" t="s">
        <v>417</v>
      </c>
      <c r="C4" s="42" t="str">
        <f t="shared" si="0"/>
        <v>서비스 제공은 고객과의 계약 또는 계약 조항으로 표시되어야 함(제5조 제4항).
계약에 다음 정보 포함:
• 온라인 거래 방식 및 해당 거래 유형
• 서비스 가입에 등록한 휴대전화 번호. 서비스 제공기관은 해당 번호가 고객의 적법한 사용 권한에 속함을 확인하는 조치 보유
• 각 당사자의 위험 및 배상 책임</v>
      </c>
      <c r="D4" s="42" t="s">
        <v>73</v>
      </c>
      <c r="E4" s="44" t="s">
        <v>418</v>
      </c>
    </row>
    <row r="5" spans="1:5" x14ac:dyDescent="0.2">
      <c r="A5" s="56">
        <v>4</v>
      </c>
      <c r="B5" s="57" t="s">
        <v>417</v>
      </c>
      <c r="C5" s="42" t="str">
        <f t="shared" si="0"/>
        <v>본 시행규칙, 증권법 및 관련 법규에 부합하는 온라인 거래 절차 제정(제5조 제5항).</v>
      </c>
      <c r="D5" s="42" t="s">
        <v>78</v>
      </c>
      <c r="E5" s="44" t="s">
        <v>418</v>
      </c>
    </row>
    <row r="6" spans="1:5" x14ac:dyDescent="0.2">
      <c r="A6" s="56">
        <v>5</v>
      </c>
      <c r="B6" s="57" t="s">
        <v>417</v>
      </c>
      <c r="C6" s="42" t="str">
        <f t="shared" si="0"/>
        <v>서비스 제공 시 증권회사가 직접 수행: a) 증권계좌 개설 거래 인증; b) 증권 매매주문 거래 인증(제5조 제8항 a·b호).</v>
      </c>
      <c r="D6" s="42" t="s">
        <v>82</v>
      </c>
      <c r="E6" s="44" t="s">
        <v>419</v>
      </c>
    </row>
    <row r="7" spans="1:5" x14ac:dyDescent="0.2">
      <c r="A7" s="56">
        <v>6</v>
      </c>
      <c r="B7" s="57" t="s">
        <v>417</v>
      </c>
      <c r="C7" s="42" t="str">
        <f t="shared" si="0"/>
        <v>규정 준수를 위해 시스템 및 고객 데이터를 점검·계획·정비; 시행일로부터 1년 이내 완료(제31조).</v>
      </c>
      <c r="D7" s="42" t="s">
        <v>88</v>
      </c>
      <c r="E7" s="44" t="s">
        <v>419</v>
      </c>
    </row>
    <row r="8" spans="1:5" x14ac:dyDescent="0.2">
      <c r="A8" s="56">
        <v>7</v>
      </c>
      <c r="B8" s="57" t="s">
        <v>417</v>
      </c>
      <c r="C8" s="42" t="str">
        <f t="shared" si="0"/>
        <v>OTP 유효시간 준수: OTP카드 1년, SMS 5분, Voice 3분, Email 5분, 매트릭스 카드 2분, Soft OTP 2분, Token OTP 2분(제8조).</v>
      </c>
      <c r="D8" s="42" t="s">
        <v>94</v>
      </c>
      <c r="E8" s="44" t="s">
        <v>420</v>
      </c>
    </row>
    <row r="9" spans="1:5" x14ac:dyDescent="0.2">
      <c r="A9" s="56">
        <v>8</v>
      </c>
      <c r="B9" s="57" t="s">
        <v>417</v>
      </c>
      <c r="C9" s="42" t="str">
        <f t="shared" si="0"/>
        <v>얼굴 생체인증 FIDO Biometric Requirement 충족: FRR&lt;5%, FAR&lt;0.01%(표본 1만 이상); 생체 위조공격탐지(PAD) 보유(제9조 제1항).</v>
      </c>
      <c r="D9" s="42" t="s">
        <v>99</v>
      </c>
      <c r="E9" s="44" t="s">
        <v>420</v>
      </c>
    </row>
    <row r="10" spans="1:5" x14ac:dyDescent="0.2">
      <c r="A10" s="56">
        <v>9</v>
      </c>
      <c r="B10" s="57" t="s">
        <v>417</v>
      </c>
      <c r="C10" s="42" t="str">
        <f t="shared" si="0"/>
        <v>PAD 솔루션은 자체 구축 또는 제3자 사용 시 FIDO Alliance 또는 동등·상위 기준 국제기관의 인증 필요(제9조).</v>
      </c>
      <c r="D10" s="42" t="s">
        <v>103</v>
      </c>
      <c r="E10" s="44" t="s">
        <v>420</v>
      </c>
    </row>
    <row r="11" spans="1:5" ht="126" x14ac:dyDescent="0.2">
      <c r="A11" s="56">
        <v>10</v>
      </c>
      <c r="B11" s="57" t="s">
        <v>417</v>
      </c>
      <c r="C11" s="42" t="str">
        <f t="shared" si="0"/>
        <v>생체정보 일치에 관한 추가 규정.
규정 횟수(10회 이하) 초과 오류 시 기능 잠금, 고객 요청 및 고객 확인 시에만 해제. 생체정보 일치 확인 시간은 시스템이 고객의 인증 요청을 기록한 시점부터 최대 3분.
고객의 생체정보를 다음 데이터 중 하나와 대조하여 일치 확인:
a) 공안기관 발급으로 정확히 인증된 CCCD(시민카드) 또는 CC 카드의 암호화 정보저장부에 저장된 생체정보, 또는 전자식별인증시스템이 생성한 본인의 전자식별계정 인증을 통한 생체정보;
b) 수집·검사된 생체정보로서, 본인의 생체정보가 공안기관 발급으로 인증된 CCCD 또는 CC 카드의 암호화 저장부 생체정보와 일치하거나, 전자식별인증시스템이 생성한 본인의 전자식별계정 인증 생체정보와 일치함을 보장;
c) 암호화 정보저장부가 없는 CCCD 카드 사용 시, 국가 인구 데이터베이스에 저장된 본인의 생체정보.</v>
      </c>
      <c r="D11" s="42" t="s">
        <v>107</v>
      </c>
      <c r="E11" s="44" t="s">
        <v>420</v>
      </c>
    </row>
    <row r="12" spans="1:5" x14ac:dyDescent="0.2">
      <c r="A12" s="56">
        <v>11</v>
      </c>
      <c r="B12" s="57" t="s">
        <v>417</v>
      </c>
      <c r="C12" s="42" t="str">
        <f t="shared" si="0"/>
        <v>증권계좌·예탁계좌 개설/해지: 개인 및 법인 대표자에 대해 생체정보 일치 인증(제9조); 계약은 전자서명으로 확인(제12조 제1항).</v>
      </c>
      <c r="D12" s="42" t="s">
        <v>111</v>
      </c>
      <c r="E12" s="44" t="s">
        <v>421</v>
      </c>
    </row>
    <row r="13" spans="1:5" ht="28" x14ac:dyDescent="0.2">
      <c r="A13" s="56">
        <v>12</v>
      </c>
      <c r="B13" s="57" t="s">
        <v>417</v>
      </c>
      <c r="C13" s="42" t="str">
        <f t="shared" si="0"/>
        <v>온라인 증권거래: 생체정보 일치 인증(제9조) 적용; 로그인 세션별 최초 거래 인증; 인증과 거래는 동일 기기에서 수행(제12조 제2항).</v>
      </c>
      <c r="D13" s="42" t="s">
        <v>116</v>
      </c>
      <c r="E13" s="44" t="s">
        <v>421</v>
      </c>
    </row>
    <row r="14" spans="1:5" ht="28" x14ac:dyDescent="0.2">
      <c r="A14" s="56">
        <v>13</v>
      </c>
      <c r="B14" s="57" t="s">
        <v>417</v>
      </c>
      <c r="C14" s="42" t="str">
        <f t="shared" si="0"/>
        <v>전화 주문: 등록된 전화번호 + 최소 개인식별번호 및 비밀요소 인증정보 사용; 등록·보관된 정보와 일치할 때만 거래 수행(제12조 제3항).</v>
      </c>
      <c r="D14" s="42" t="s">
        <v>121</v>
      </c>
      <c r="E14" s="44" t="s">
        <v>421</v>
      </c>
    </row>
    <row r="15" spans="1:5" x14ac:dyDescent="0.2">
      <c r="A15" s="56">
        <v>14</v>
      </c>
      <c r="B15" s="57" t="s">
        <v>417</v>
      </c>
      <c r="C15" s="42" t="str">
        <f t="shared" si="0"/>
        <v>증권계좌 출금·이체: 1천만 VND 미만 제7조 1가지 이상; 1천만 VND 이상 제9조 (생체인식) 인증 적용(제12조 제4항).</v>
      </c>
      <c r="D15" s="42" t="s">
        <v>125</v>
      </c>
      <c r="E15" s="44" t="s">
        <v>421</v>
      </c>
    </row>
    <row r="16" spans="1:5" x14ac:dyDescent="0.2">
      <c r="A16" s="56">
        <v>15</v>
      </c>
      <c r="B16" s="57" t="s">
        <v>417</v>
      </c>
      <c r="C16" s="42" t="str">
        <f t="shared" si="0"/>
        <v>베트남 거주 외국인 투자자: 제12조에 따라 증권·예탁계좌 개설·이용·해지(제13조 제1항).</v>
      </c>
      <c r="D16" s="42" t="s">
        <v>129</v>
      </c>
      <c r="E16" s="44" t="s">
        <v>421</v>
      </c>
    </row>
    <row r="17" spans="1:5" ht="28" x14ac:dyDescent="0.2">
      <c r="A17" s="56">
        <v>16</v>
      </c>
      <c r="B17" s="57" t="s">
        <v>417</v>
      </c>
      <c r="C17" s="42" t="str">
        <f t="shared" si="0"/>
        <v>비거주 외국인 투자자: 외국 증권사/서비스 계약 기관에 위임; 서비스 제공기관은 자금세탁방지법에 따라 고객 및 수임기관 확인(제13조 제2·3·4항).</v>
      </c>
      <c r="D17" s="42" t="s">
        <v>134</v>
      </c>
      <c r="E17" s="44" t="s">
        <v>421</v>
      </c>
    </row>
    <row r="18" spans="1:5" x14ac:dyDescent="0.2">
      <c r="A18" s="56">
        <v>17</v>
      </c>
      <c r="B18" s="57" t="s">
        <v>422</v>
      </c>
      <c r="C18" s="42" t="str">
        <f t="shared" si="0"/>
        <v>API 도입 시 증권법 및 사이버보안 법규 준수; API가 시장 위험을 초래할 우려 발견 시 도입 중단(제14조 제1항).</v>
      </c>
      <c r="D18" s="42" t="s">
        <v>138</v>
      </c>
      <c r="E18" s="44" t="s">
        <v>423</v>
      </c>
    </row>
    <row r="19" spans="1:5" ht="28" x14ac:dyDescent="0.2">
      <c r="A19" s="56">
        <v>18</v>
      </c>
      <c r="B19" s="57" t="s">
        <v>422</v>
      </c>
      <c r="C19" s="42" t="str">
        <f t="shared" si="0"/>
        <v>비밀유지·고객정보 제공·개인정보보호 법규 준수; 개인정보 처리는 해당 고객 목적에 한정(법령에 다른 규정이 있는 경우 제외)(제14조 제2항).</v>
      </c>
      <c r="D19" s="42" t="s">
        <v>144</v>
      </c>
      <c r="E19" s="44" t="s">
        <v>423</v>
      </c>
    </row>
    <row r="20" spans="1:5" ht="28" x14ac:dyDescent="0.2">
      <c r="A20" s="56">
        <v>19</v>
      </c>
      <c r="B20" s="57" t="s">
        <v>422</v>
      </c>
      <c r="C20" s="42" t="str">
        <f t="shared" si="0"/>
        <v>처리 데이터는 계약상 목적·법령에 부합하게 관리·보관·활용; 최신성·정확성 보장; 오류 시 당사자 합의에 따라 즉시 정정·보정(제14조 제3·4항).</v>
      </c>
      <c r="D20" s="42" t="s">
        <v>148</v>
      </c>
      <c r="E20" s="44" t="s">
        <v>423</v>
      </c>
    </row>
    <row r="21" spans="1:5" ht="42" x14ac:dyDescent="0.2">
      <c r="A21" s="56">
        <v>20</v>
      </c>
      <c r="B21" s="57" t="s">
        <v>422</v>
      </c>
      <c r="C21" s="42" t="str">
        <f t="shared" si="0"/>
        <v>제3자와 API 도입 계약 체결(제14조 제5항). 계약 내용: a) 안전·보안 및 고객정보 보호 약정; b) 데이터를 범위·목적에 맞게 사용하고 유출/오류/목적외 사용 시 책임지는 약정; c) API를 통한 서비스 정보; d) 서비스 수수료(있는 경우); đ) 제3자 시스템의 사이버보안 등급; e) 당사자별 데이터 접근 권한; g) 인력 위반 시 통보; h) 배상 및 정보제공 책임; i) 계약 해지 조항.</v>
      </c>
      <c r="D21" s="42" t="s">
        <v>152</v>
      </c>
      <c r="E21" s="44" t="s">
        <v>423</v>
      </c>
    </row>
    <row r="22" spans="1:5" ht="42" x14ac:dyDescent="0.2">
      <c r="A22" s="56">
        <v>21</v>
      </c>
      <c r="B22" s="57" t="s">
        <v>422</v>
      </c>
      <c r="C22" s="42" t="str">
        <f t="shared" si="0"/>
        <v>API 기술문서 및 협력 도입 문서를 양측에서 작성·보관(제14조 제6항). 문서(제6항): a) 당사자별 도입 모델(데이터 흐름도, 보안 구역 분할, API 연결점); b) 상세 기술사양(프로토콜, 엔드포인트, 버전, 데이터 흐름, 인증 방식); c) 사용자 인증 및 권한 부여 메커니즘; d) 접근 빈도 관리·통제·제한 메커니즘; đ) 사이버보안 보호조치 문서; e) 기타 관련 자료(있는 경우).</v>
      </c>
      <c r="D22" s="42" t="s">
        <v>157</v>
      </c>
      <c r="E22" s="44" t="s">
        <v>423</v>
      </c>
    </row>
    <row r="23" spans="1:5" x14ac:dyDescent="0.2">
      <c r="A23" s="56">
        <v>22</v>
      </c>
      <c r="B23" s="57" t="s">
        <v>422</v>
      </c>
      <c r="C23" s="42" t="str">
        <f t="shared" si="0"/>
        <v>API 도입을 위한 정보시스템 인프라 완비; 연동·데이터 처리 안내 문서 수립·발행(제15조 제1·2항).</v>
      </c>
      <c r="D23" s="42" t="s">
        <v>161</v>
      </c>
      <c r="E23" s="44" t="s">
        <v>424</v>
      </c>
    </row>
    <row r="24" spans="1:5" x14ac:dyDescent="0.2">
      <c r="A24" s="56">
        <v>23</v>
      </c>
      <c r="B24" s="57" t="s">
        <v>422</v>
      </c>
      <c r="C24" s="42" t="str">
        <f t="shared" si="0"/>
        <v>고객에게 다음 도구·기능 제공: a) 고객이 처리에 동의한 데이터 조회; b) 법령에 따른 동의 철회(제15조 제5항).</v>
      </c>
      <c r="D24" s="42" t="s">
        <v>166</v>
      </c>
      <c r="E24" s="44" t="s">
        <v>424</v>
      </c>
    </row>
    <row r="25" spans="1:5" ht="28" x14ac:dyDescent="0.2">
      <c r="A25" s="56">
        <v>24</v>
      </c>
      <c r="B25" s="57" t="s">
        <v>422</v>
      </c>
      <c r="C25" s="42" t="str">
        <f t="shared" si="0"/>
        <v>API 접근 통제(제15조 제7항): rate limit 통합; 빈도제한 규정 발행·공개, 제3자 그룹별 차등; 한도 초과 시 일시중단; 접근 IP 수·시간 통제.</v>
      </c>
      <c r="D25" s="42" t="s">
        <v>170</v>
      </c>
      <c r="E25" s="44" t="s">
        <v>424</v>
      </c>
    </row>
    <row r="26" spans="1:5" x14ac:dyDescent="0.2">
      <c r="A26" s="56">
        <v>25</v>
      </c>
      <c r="B26" s="57" t="s">
        <v>422</v>
      </c>
      <c r="C26" s="42" t="str">
        <f t="shared" si="0"/>
        <v>API 테스트(sandbox) 시스템 구축 및 공식 전자사이트에 테스트 시스템 정보 공개(제15조 제8항).</v>
      </c>
      <c r="D26" s="42" t="s">
        <v>174</v>
      </c>
      <c r="E26" s="44" t="s">
        <v>425</v>
      </c>
    </row>
    <row r="27" spans="1:5" x14ac:dyDescent="0.2">
      <c r="A27" s="56">
        <v>26</v>
      </c>
      <c r="B27" s="57" t="s">
        <v>422</v>
      </c>
      <c r="C27" s="42" t="str">
        <f t="shared" si="0"/>
        <v>제3자 선정·심사·감독·관리 책임; 법령·약정 위반 또는 안전 위협 시 연동 일시중단/해지(제15조 제9·10항).</v>
      </c>
      <c r="D27" s="42" t="s">
        <v>179</v>
      </c>
      <c r="E27" s="44" t="s">
        <v>425</v>
      </c>
    </row>
    <row r="28" spans="1:5" x14ac:dyDescent="0.2">
      <c r="A28" s="56">
        <v>27</v>
      </c>
      <c r="B28" s="57" t="s">
        <v>422</v>
      </c>
      <c r="C28" s="42" t="str">
        <f t="shared" si="0"/>
        <v>계약 변경 시 제3자의 데이터 접근 권한 갱신 또는 회수(제15조 제11항).</v>
      </c>
      <c r="D28" s="42" t="s">
        <v>183</v>
      </c>
      <c r="E28" s="44" t="s">
        <v>425</v>
      </c>
    </row>
    <row r="29" spans="1:5" x14ac:dyDescent="0.2">
      <c r="A29" s="56">
        <v>28</v>
      </c>
      <c r="B29" s="57" t="s">
        <v>422</v>
      </c>
      <c r="C29" s="42" t="str">
        <f t="shared" si="0"/>
        <v>접근활동 감시(제12항): 비정상·무단 접근 탐지·차단 솔루션 보유; 검사 대비 API 사용 전체 로그 기록(제15조 제12항).</v>
      </c>
      <c r="D29" s="42" t="s">
        <v>187</v>
      </c>
      <c r="E29" s="44" t="s">
        <v>425</v>
      </c>
    </row>
    <row r="30" spans="1:5" ht="28" x14ac:dyDescent="0.2">
      <c r="A30" s="56">
        <v>29</v>
      </c>
      <c r="B30" s="57" t="s">
        <v>422</v>
      </c>
      <c r="C30" s="42" t="str">
        <f t="shared" si="0"/>
        <v>고객에게 API 서비스 및 이용 위험 정보 제공; 제3자·관할기관과 분쟁 해결 협력; API 연동 관리에 대한 법적 책임(제15조 제13·14·15항).</v>
      </c>
      <c r="D30" s="42" t="s">
        <v>191</v>
      </c>
      <c r="E30" s="44" t="s">
        <v>425</v>
      </c>
    </row>
    <row r="31" spans="1:5" ht="28" x14ac:dyDescent="0.2">
      <c r="A31" s="56">
        <v>30</v>
      </c>
      <c r="B31" s="57" t="s">
        <v>422</v>
      </c>
      <c r="C31" s="42" t="str">
        <f t="shared" si="0"/>
        <v>제3자와 API로 연동·데이터 처리 중인 서비스 제공기관: 시행규칙 준수를 보장하는 도입 중 API 목록 및 상세정보를 작성하여 시행일로부터 3개월 이내 UBCKNN에 제출(제31조).</v>
      </c>
      <c r="D31" s="42" t="s">
        <v>195</v>
      </c>
      <c r="E31" s="44" t="s">
        <v>426</v>
      </c>
    </row>
    <row r="32" spans="1:5" ht="28" x14ac:dyDescent="0.2">
      <c r="A32" s="56">
        <v>31</v>
      </c>
      <c r="B32" s="57" t="s">
        <v>427</v>
      </c>
      <c r="C32" s="42" t="str">
        <f t="shared" si="0"/>
        <v>등급별 사이버보안 준수; 시스템 직접 관리·운영; 정품·출처 명확 장비; 수명 임박 장비 교체 계획 및 신규 SW 설치 가능 인프라 확보(제16조).</v>
      </c>
      <c r="D32" s="42" t="s">
        <v>200</v>
      </c>
      <c r="E32" s="44" t="s">
        <v>428</v>
      </c>
    </row>
    <row r="33" spans="1:5" x14ac:dyDescent="0.2">
      <c r="A33" s="56">
        <v>32</v>
      </c>
      <c r="B33" s="57" t="s">
        <v>427</v>
      </c>
      <c r="C33" s="42" t="str">
        <f t="shared" si="0"/>
        <v>운영 전 및 매년 정기적으로 권한 있는 기관이 사이버보안 점검·평가; 유효 인증서로 웹사이트·이메일 시스템 인증(제16조).</v>
      </c>
      <c r="D33" s="42" t="s">
        <v>206</v>
      </c>
      <c r="E33" s="44" t="s">
        <v>428</v>
      </c>
    </row>
    <row r="34" spans="1:5" x14ac:dyDescent="0.2">
      <c r="A34" s="56">
        <v>33</v>
      </c>
      <c r="B34" s="57" t="s">
        <v>427</v>
      </c>
      <c r="C34" s="42" t="str">
        <f t="shared" si="0"/>
        <v>일일 운영·관리 모니터링, 사고처리, 시스템·데이터 백업·예비·복구, 위험통제, 개인정보보호 절차 발행(제16조).</v>
      </c>
      <c r="D34" s="42" t="s">
        <v>210</v>
      </c>
      <c r="E34" s="44" t="s">
        <v>428</v>
      </c>
    </row>
    <row r="35" spans="1:5" x14ac:dyDescent="0.2">
      <c r="A35" s="56">
        <v>34</v>
      </c>
      <c r="B35" s="57" t="s">
        <v>427</v>
      </c>
      <c r="C35" s="42" t="str">
        <f t="shared" si="0"/>
        <v>온라인 응용 소프트웨어: 로그인 세션 통제(미조작 시 자동 종료); 자동 로그인 방지; 데이터 유출 방지(DLP)(제18조).</v>
      </c>
      <c r="D35" s="42" t="s">
        <v>214</v>
      </c>
      <c r="E35" s="44" t="s">
        <v>429</v>
      </c>
    </row>
    <row r="36" spans="1:5" x14ac:dyDescent="0.2">
      <c r="A36" s="56">
        <v>35</v>
      </c>
      <c r="B36" s="57" t="s">
        <v>427</v>
      </c>
      <c r="C36" s="42" t="str">
        <f t="shared" si="0"/>
        <v>온라인 응용 소프트웨어: 모바일/PC 기기 식별정보 저장; 규정 항목을 갖춘 증권거래 로그 및 출금·이체 로그 보관(제18조).</v>
      </c>
      <c r="D36" s="42" t="s">
        <v>219</v>
      </c>
      <c r="E36" s="44" t="s">
        <v>429</v>
      </c>
    </row>
    <row r="37" spans="1:5" ht="42" x14ac:dyDescent="0.2">
      <c r="A37" s="56">
        <v>36</v>
      </c>
      <c r="B37" s="57" t="s">
        <v>427</v>
      </c>
      <c r="C37" s="42" t="str">
        <f t="shared" si="0"/>
        <v>모바일앱: 제18조 제1~3항 요건을 모두 충족하고 공식 앱스토어에 등록; 고객이 등록한 휴대전화 번호를 사용하는 기기에 설치; 고객 모바일 기기 내 온라인거래앱에 대한 무단 개입 행위 방지·차단·탐지 솔루션; PIN/비밀키 저장 금지; 최초 로그인 또는 새 기기 로그인 시 인증(제18조).</v>
      </c>
      <c r="D37" s="42" t="s">
        <v>223</v>
      </c>
      <c r="E37" s="44" t="s">
        <v>429</v>
      </c>
    </row>
    <row r="38" spans="1:5" ht="42" x14ac:dyDescent="0.2">
      <c r="A38" s="56">
        <v>37</v>
      </c>
      <c r="B38" s="57" t="s">
        <v>427</v>
      </c>
      <c r="C38" s="42" t="str">
        <f t="shared" si="0"/>
        <v>관리 목적으로 내부망 외부에서 온라인거래시스템에 접속하는 것은 내부망 접속이 불가능한 경우에만 수행하며 다음 규정을 준수: 권한기관 승인; VPN/동등 수단 사용; 연결 기기에 안전·보안 보장 소프트웨어 설치; 최소 2요소 인증; 암호화 프로토콜(제19조).</v>
      </c>
      <c r="D38" s="42" t="s">
        <v>227</v>
      </c>
      <c r="E38" s="44" t="s">
        <v>430</v>
      </c>
    </row>
    <row r="39" spans="1:5" x14ac:dyDescent="0.2">
      <c r="A39" s="56">
        <v>38</v>
      </c>
      <c r="B39" s="57" t="s">
        <v>427</v>
      </c>
      <c r="C39" s="42" t="str">
        <f t="shared" si="0"/>
        <v>독립 저장 시스템/매체 보유; 6개월마다 복구 점검·확인서 작성, 내부점검·감사 대비 최소 3년 보관(제20조 제2항).</v>
      </c>
      <c r="D39" s="42" t="s">
        <v>232</v>
      </c>
      <c r="E39" s="44" t="s">
        <v>431</v>
      </c>
    </row>
    <row r="40" spans="1:5" ht="28" x14ac:dyDescent="0.2">
      <c r="A40" s="56">
        <v>39</v>
      </c>
      <c r="B40" s="57" t="s">
        <v>427</v>
      </c>
      <c r="C40" s="42" t="str">
        <f t="shared" si="0"/>
        <v>고객 거래 전자증빙·전자데이터 법령에 따라 보관. 온라인거래 시스템 데이터·구성 및 보안장비: 최소 3부(2부는 별개 기기, 1부 독립); 저장장치 데이터 암호화(제20조 제3·5항).</v>
      </c>
      <c r="D40" s="42" t="s">
        <v>237</v>
      </c>
      <c r="E40" s="44" t="s">
        <v>431</v>
      </c>
    </row>
    <row r="41" spans="1:5" x14ac:dyDescent="0.2">
      <c r="A41" s="56">
        <v>40</v>
      </c>
      <c r="B41" s="57" t="s">
        <v>427</v>
      </c>
      <c r="C41" s="42" t="str">
        <f t="shared" si="0"/>
        <v>고객 생체정보 및 제9조 제6항에 따른 생체 대조 결과를 완전·상세 보관(제20조 제4항).</v>
      </c>
      <c r="D41" s="42" t="s">
        <v>241</v>
      </c>
      <c r="E41" s="44" t="s">
        <v>431</v>
      </c>
    </row>
    <row r="42" spans="1:5" ht="28" x14ac:dyDescent="0.2">
      <c r="A42" s="56">
        <v>41</v>
      </c>
      <c r="B42" s="57" t="s">
        <v>427</v>
      </c>
      <c r="C42" s="42" t="str">
        <f t="shared" si="0"/>
        <v>고객 데이터 보안: 법령에 따른 안전 보장; 비밀요소·생체정보 암호화/마스킹; 기능별 접근권한 부여 및 접근 시마다 감시; 저장 장치·매체 접근 관리; 유출 시 고객 통지 및 UBCKNN 보고(제22조).</v>
      </c>
      <c r="D42" s="42" t="s">
        <v>245</v>
      </c>
      <c r="E42" s="44" t="s">
        <v>431</v>
      </c>
    </row>
    <row r="43" spans="1:5" x14ac:dyDescent="0.2">
      <c r="A43" s="56">
        <v>42</v>
      </c>
      <c r="B43" s="57" t="s">
        <v>427</v>
      </c>
      <c r="C43" s="42" t="str">
        <f t="shared" si="0"/>
        <v>온라인 서비스 제공활동 연간보고서(정기 사이버보안 점검·평가 보고서 첨부): 익년 1월 31일까지(제25조).</v>
      </c>
      <c r="D43" s="42" t="s">
        <v>249</v>
      </c>
      <c r="E43" s="44" t="s">
        <v>432</v>
      </c>
    </row>
    <row r="44" spans="1:5" x14ac:dyDescent="0.2">
      <c r="A44" s="56">
        <v>43</v>
      </c>
      <c r="B44" s="57" t="s">
        <v>427</v>
      </c>
      <c r="C44" s="42" t="str">
        <f t="shared" si="0"/>
        <v>API 도입에 관한 UBCKNN 보고: 시행 최소 7영업일 전(제25조).</v>
      </c>
      <c r="D44" s="42" t="s">
        <v>254</v>
      </c>
      <c r="E44" s="44" t="s">
        <v>432</v>
      </c>
    </row>
    <row r="45" spans="1:5" ht="28" x14ac:dyDescent="0.2">
      <c r="A45" s="56">
        <v>44</v>
      </c>
      <c r="B45" s="57" t="s">
        <v>427</v>
      </c>
      <c r="C45" s="42" t="str">
        <f t="shared" si="0"/>
        <v>공식 웹사이트 및 온라인 증권앱은 온라인 서비스 규정, 고객 이용 시 발생 가능한 위험, 위험 발생 시 각 당사자의 배상책임을 공시(제26조 제1항).</v>
      </c>
      <c r="D45" s="42" t="s">
        <v>258</v>
      </c>
      <c r="E45" s="44" t="s">
        <v>433</v>
      </c>
    </row>
    <row r="46" spans="1:5" ht="16" thickBot="1" x14ac:dyDescent="0.25">
      <c r="A46" s="59">
        <v>45</v>
      </c>
      <c r="B46" s="57" t="s">
        <v>427</v>
      </c>
      <c r="C46" s="42" t="str">
        <f t="shared" si="0"/>
        <v>온라인 서비스 제공을 위해 도입 중인 API 서비스 목록(있는 경우)을 웹사이트에 공개(제26조 제2항).</v>
      </c>
      <c r="D46" s="47" t="s">
        <v>263</v>
      </c>
      <c r="E46" s="61" t="s">
        <v>433</v>
      </c>
    </row>
  </sheetData>
  <autoFilter ref="A1:E46" xr:uid="{00000000-0001-0000-0200-000000000000}"/>
  <pageMargins left="0.3" right="0.3" top="0.4" bottom="0.4"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Report</vt:lpstr>
      <vt:lpstr>Cần xử lý_재확인.조치 필요</vt:lpstr>
      <vt:lpstr>Checklist</vt:lpstr>
      <vt:lpstr>Korean</vt:lpstr>
      <vt:lpstr>'Cần xử lý_재확인.조치 필요'!Print_Titles</vt:lpstr>
      <vt:lpstr>Checklist!Print_Titles</vt:lpstr>
      <vt:lpstr>Korean!Print_Titles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Nguyễn Minh Đức</cp:lastModifiedBy>
  <cp:revision/>
  <dcterms:created xsi:type="dcterms:W3CDTF">2026-06-13T12:07:55Z</dcterms:created>
  <dcterms:modified xsi:type="dcterms:W3CDTF">2026-06-22T03:39:31Z</dcterms:modified>
  <cp:category/>
  <cp:contentStatus/>
</cp:coreProperties>
</file>